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Leads" sheetId="2" state="visible" r:id="rId2"/>
    <sheet name="Pipeline" sheetId="3" state="visible" r:id="rId3"/>
    <sheet name="Pilot results" sheetId="4" state="visible" r:id="rId4"/>
    <sheet name="Plans" sheetId="5" state="visible" r:id="rId5"/>
  </sheets>
  <definedNames>
    <definedName name="_xlnm._FilterDatabase" localSheetId="1" hidden="1">'Leads'!$A$4:$U$404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yyyy-mm-dd"/>
    <numFmt numFmtId="166" formatCode="yyyy-mm-dd h:mm AM/PM"/>
    <numFmt numFmtId="167" formatCode="0.0"/>
    <numFmt numFmtId="168" formatCode="$#,##0"/>
    <numFmt numFmtId="169" formatCode="0.0&quot;x&quot;"/>
  </numFmts>
  <fonts count="15">
    <font>
      <name val="Calibri"/>
      <family val="2"/>
      <color theme="1"/>
      <sz val="11"/>
      <scheme val="minor"/>
    </font>
    <font>
      <name val="Arial"/>
      <b val="1"/>
      <color rgb="000B1F3A"/>
      <sz val="18"/>
    </font>
    <font>
      <name val="Arial"/>
      <color rgb="003D4F68"/>
      <sz val="11"/>
    </font>
    <font>
      <name val="Arial"/>
      <b val="1"/>
      <color rgb="000D9488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F3A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b val="1"/>
      <color rgb="000B1F3A"/>
      <sz val="16"/>
    </font>
    <font>
      <name val="Arial"/>
      <b val="1"/>
    </font>
    <font>
      <name val="Arial"/>
      <color theme="1"/>
      <sz val="10"/>
    </font>
  </fonts>
  <fills count="6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EEF2F6"/>
      </patternFill>
    </fill>
    <fill>
      <patternFill patternType="solid">
        <fgColor rgb="00E6F7F5"/>
      </patternFill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9" fillId="0" borderId="0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vertical="center" wrapText="1"/>
    </xf>
    <xf numFmtId="0" fontId="5" fillId="4" borderId="1" pivotButton="0" quotePrefix="0" xfId="0"/>
    <xf numFmtId="167" fontId="5" fillId="4" borderId="1" pivotButton="0" quotePrefix="0" xfId="0"/>
    <xf numFmtId="166" fontId="5" fillId="4" borderId="1" pivotButton="0" quotePrefix="0" xfId="0"/>
    <xf numFmtId="0" fontId="5" fillId="3" borderId="1" pivotButton="0" quotePrefix="0" xfId="0"/>
    <xf numFmtId="165" fontId="5" fillId="4" borderId="1" pivotButton="0" quotePrefix="0" xfId="0"/>
    <xf numFmtId="1" fontId="5" fillId="3" borderId="1" pivotButton="0" quotePrefix="0" xfId="0"/>
    <xf numFmtId="164" fontId="5" fillId="3" borderId="1" pivotButton="0" quotePrefix="0" xfId="0"/>
    <xf numFmtId="0" fontId="5" fillId="4" borderId="1" applyAlignment="1" pivotButton="0" quotePrefix="0" xfId="0">
      <alignment vertical="top" wrapText="1"/>
    </xf>
    <xf numFmtId="0" fontId="5" fillId="2" borderId="1" pivotButton="0" quotePrefix="0" xfId="0"/>
    <xf numFmtId="167" fontId="5" fillId="2" borderId="1" pivotButton="0" quotePrefix="0" xfId="0"/>
    <xf numFmtId="166" fontId="5" fillId="2" borderId="1" pivotButton="0" quotePrefix="0" xfId="0"/>
    <xf numFmtId="165" fontId="5" fillId="2" borderId="1" pivotButton="0" quotePrefix="0" xfId="0"/>
    <xf numFmtId="0" fontId="5" fillId="2" borderId="1" applyAlignment="1" pivotButton="0" quotePrefix="0" xfId="0">
      <alignment vertical="top" wrapText="1"/>
    </xf>
    <xf numFmtId="0" fontId="12" fillId="0" borderId="0" pivotButton="0" quotePrefix="0" xfId="0"/>
    <xf numFmtId="0" fontId="14" fillId="0" borderId="0" pivotButton="0" quotePrefix="0" xfId="0"/>
    <xf numFmtId="0" fontId="11" fillId="5" borderId="0" pivotButton="0" quotePrefix="0" xfId="0"/>
    <xf numFmtId="0" fontId="14" fillId="0" borderId="1" pivotButton="0" quotePrefix="0" xfId="0"/>
    <xf numFmtId="9" fontId="14" fillId="0" borderId="1" pivotButton="0" quotePrefix="0" xfId="0"/>
    <xf numFmtId="0" fontId="4" fillId="0" borderId="1" pivotButton="0" quotePrefix="0" xfId="0"/>
    <xf numFmtId="164" fontId="14" fillId="3" borderId="0" pivotButton="0" quotePrefix="0" xfId="0"/>
    <xf numFmtId="1" fontId="14" fillId="3" borderId="0" pivotButton="0" quotePrefix="0" xfId="0"/>
    <xf numFmtId="9" fontId="14" fillId="3" borderId="0" pivotButton="0" quotePrefix="0" xfId="0"/>
    <xf numFmtId="168" fontId="5" fillId="4" borderId="1" pivotButton="0" quotePrefix="0" xfId="0"/>
    <xf numFmtId="168" fontId="5" fillId="3" borderId="1" pivotButton="0" quotePrefix="0" xfId="0"/>
    <xf numFmtId="169" fontId="5" fillId="3" borderId="1" pivotButton="0" quotePrefix="0" xfId="0"/>
    <xf numFmtId="168" fontId="5" fillId="2" borderId="1" pivotButton="0" quotePrefix="0" xfId="0"/>
    <xf numFmtId="0" fontId="6" fillId="5" borderId="0" pivotButton="0" quotePrefix="0" xfId="0"/>
    <xf numFmtId="0" fontId="7" fillId="0" borderId="0" pivotButton="0" quotePrefix="0" xfId="0"/>
    <xf numFmtId="164" fontId="8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1"/>
        </patternFill>
      </fill>
    </dxf>
    <dxf>
      <font>
        <name val="Arial"/>
        <b val="1"/>
        <color rgb="00B91C1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CallFlow</author>
  </authors>
  <commentList>
    <comment ref="M4" authorId="0" shapeId="0">
      <text>
        <t>High = went to voicemail / no answer after hours: they have the exact problem CallFlow solves.</t>
      </text>
    </comment>
    <comment ref="T4" authorId="0" shapeId="0">
      <text>
        <t>Filled only when Stage = Paying, using the price on the Plans tab.</t>
      </text>
    </comment>
  </commentList>
</comments>
</file>

<file path=xl/comments/comment2.xml><?xml version="1.0" encoding="utf-8"?>
<comments xmlns="http://schemas.openxmlformats.org/spreadsheetml/2006/main">
  <authors>
    <author>CallFlow</author>
  </authors>
  <commentList>
    <comment ref="J4" authorId="0" shapeId="0">
      <text>
        <t>(booked from text-back + after-hours bookings) × avg repair ticket + value of estimates won. An estimate, not accounting revenue.</t>
      </text>
    </comment>
    <comment ref="L4" authorId="0" shapeId="0">
      <text>
        <t>Revenue recovered ÷ one month of the plan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1" t="inlineStr">
        <is>
          <t>CallFlow AI — Lead Tracker</t>
        </is>
      </c>
    </row>
    <row r="3">
      <c r="B3" s="2" t="inlineStr">
        <is>
          <t>Track every HVAC company you contact, from first look to paying customer.</t>
        </is>
      </c>
    </row>
    <row r="5">
      <c r="B5" s="3" t="inlineStr">
        <is>
          <t>Colour legend</t>
        </is>
      </c>
    </row>
    <row r="6">
      <c r="B6" s="4" t="inlineStr">
        <is>
          <t>Pale yellow cells</t>
        </is>
      </c>
      <c r="C6" s="5" t="inlineStr">
        <is>
          <t>You type here (company info, test results, stage, dates, notes).</t>
        </is>
      </c>
    </row>
    <row r="7">
      <c r="B7" s="6" t="inlineStr">
        <is>
          <t>Grey cells</t>
        </is>
      </c>
      <c r="C7" s="5" t="inlineStr">
        <is>
          <t>Formulas. They fill in automatically; don't type over them.</t>
        </is>
      </c>
    </row>
    <row r="8">
      <c r="B8" s="7" t="inlineStr">
        <is>
          <t>Green row</t>
        </is>
      </c>
      <c r="C8" s="5" t="inlineStr">
        <is>
          <t>Row 5 on the Leads tab is a fictional EXAMPLE showing the format. Delete it or overwrite it with a real company.</t>
        </is>
      </c>
    </row>
    <row r="10">
      <c r="B10" s="3" t="inlineStr">
        <is>
          <t>Weekly routine</t>
        </is>
      </c>
    </row>
    <row r="11">
      <c r="B11" s="8" t="inlineStr">
        <is>
          <t>1. Find (Monday)</t>
        </is>
      </c>
      <c r="C11" s="5" t="inlineStr">
        <is>
          <t>Search Google Maps for 'HVAC [city] UT' (Salt Lake City, Sandy, West Jordan, Provo, Orem, Layton, Ogden…). Add 25 companies: name, phone, website, city, Google rating and review count.</t>
        </is>
      </c>
    </row>
    <row r="12">
      <c r="B12" s="8" t="inlineStr">
        <is>
          <t>2. Test (evenings)</t>
        </is>
      </c>
      <c r="C12" s="5" t="inlineStr">
        <is>
          <t>Call each new company between 6–9 PM. Record the date/time and what happened in the 'After-hours result' column. Voicemail / No answer → Priority becomes High automatically.</t>
        </is>
      </c>
    </row>
    <row r="13">
      <c r="B13" s="8" t="inlineStr">
        <is>
          <t>3. Contact (Tue–Thu)</t>
        </is>
      </c>
      <c r="C13" s="5" t="inlineStr">
        <is>
          <t>Email or call the High-priority companies first using sales/02-email-templates.md and sales/03-phone-and-walk-in-scripts.md. Update Stage and Last contact.</t>
        </is>
      </c>
    </row>
    <row r="14">
      <c r="B14" s="8" t="inlineStr">
        <is>
          <t>4. Follow up (Friday)</t>
        </is>
      </c>
      <c r="C14" s="5" t="inlineStr">
        <is>
          <t>Sort or filter by 'Next follow-up'. Rows turn red when a follow-up is overdue.</t>
        </is>
      </c>
    </row>
    <row r="15">
      <c r="B15" s="8" t="inlineStr">
        <is>
          <t>5. Review (Friday)</t>
        </is>
      </c>
      <c r="C15" s="5" t="inlineStr">
        <is>
          <t>Check the Pipeline tab: how many are in each stage, and your monthly recurring revenue (MRR).</t>
        </is>
      </c>
    </row>
    <row r="17">
      <c r="B17" s="3" t="inlineStr">
        <is>
          <t>Stage definitions (Stage column)</t>
        </is>
      </c>
    </row>
    <row r="18">
      <c r="B18" s="8" t="inlineStr">
        <is>
          <t>New</t>
        </is>
      </c>
      <c r="C18" s="5" t="inlineStr">
        <is>
          <t>Added to the list, not contacted yet</t>
        </is>
      </c>
    </row>
    <row r="19">
      <c r="B19" s="8" t="inlineStr">
        <is>
          <t>Contacted</t>
        </is>
      </c>
      <c r="C19" s="5" t="inlineStr">
        <is>
          <t>First email, call or visit done</t>
        </is>
      </c>
    </row>
    <row r="20">
      <c r="B20" s="8" t="inlineStr">
        <is>
          <t>Replied</t>
        </is>
      </c>
      <c r="C20" s="5" t="inlineStr">
        <is>
          <t>They responded (any answer except a clear no)</t>
        </is>
      </c>
    </row>
    <row r="21">
      <c r="B21" s="8" t="inlineStr">
        <is>
          <t>Meeting booked</t>
        </is>
      </c>
      <c r="C21" s="5" t="inlineStr">
        <is>
          <t>Demo meeting on the calendar</t>
        </is>
      </c>
    </row>
    <row r="22">
      <c r="B22" s="8" t="inlineStr">
        <is>
          <t>Demo done</t>
        </is>
      </c>
      <c r="C22" s="5" t="inlineStr">
        <is>
          <t>You showed them CallFlow</t>
        </is>
      </c>
    </row>
    <row r="23">
      <c r="B23" s="8" t="inlineStr">
        <is>
          <t>Pilot</t>
        </is>
      </c>
      <c r="C23" s="5" t="inlineStr">
        <is>
          <t>Free 30-day pilot running</t>
        </is>
      </c>
    </row>
    <row r="24">
      <c r="B24" s="8" t="inlineStr">
        <is>
          <t>Paying</t>
        </is>
      </c>
      <c r="C24" s="5" t="inlineStr">
        <is>
          <t>Paying customer (choose a Plan)</t>
        </is>
      </c>
    </row>
    <row r="25">
      <c r="B25" s="8" t="inlineStr">
        <is>
          <t>Not now</t>
        </is>
      </c>
      <c r="C25" s="5" t="inlineStr">
        <is>
          <t>Interested later; set a Next follow-up date</t>
        </is>
      </c>
    </row>
    <row r="26">
      <c r="B26" s="8" t="inlineStr">
        <is>
          <t>Not interested</t>
        </is>
      </c>
      <c r="C26" s="5" t="inlineStr">
        <is>
          <t>Clear no. Don't contact again</t>
        </is>
      </c>
    </row>
    <row r="28">
      <c r="B28" s="3" t="inlineStr">
        <is>
          <t>Rules</t>
        </is>
      </c>
    </row>
    <row r="29">
      <c r="B29" s="8" t="inlineStr">
        <is>
          <t>Email (CAN-SPAM)</t>
        </is>
      </c>
      <c r="C29" s="5" t="inlineStr">
        <is>
          <t>Real name, a postal address, and an opt-out line in every email. Honor opt-outs immediately; mark them 'Not interested'.</t>
        </is>
      </c>
    </row>
    <row r="30">
      <c r="B30" s="8" t="inlineStr">
        <is>
          <t>No texting prospects</t>
        </is>
      </c>
      <c r="C30" s="5" t="inlineStr">
        <is>
          <t>Don't text or auto-dial companies that haven't agreed to it (TCPA). Email, hand-dialed calls and visits are fine.</t>
        </is>
      </c>
    </row>
    <row r="31">
      <c r="B31" s="8" t="inlineStr">
        <is>
          <t>Privacy</t>
        </is>
      </c>
      <c r="C31" s="5" t="inlineStr">
        <is>
          <t>Only record business contact details you found publicly or they gave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U4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28" customWidth="1" min="4" max="4"/>
    <col width="26" customWidth="1" min="5" max="5"/>
    <col width="16" customWidth="1" min="6" max="6"/>
    <col width="11" customWidth="1" min="7" max="7"/>
    <col width="11" customWidth="1" min="8" max="8"/>
    <col width="10" customWidth="1" min="9" max="9"/>
    <col width="16" customWidth="1" min="10" max="10"/>
    <col width="20" customWidth="1" min="11" max="11"/>
    <col width="20" customWidth="1" min="12" max="12"/>
    <col width="10" customWidth="1" min="13" max="13"/>
    <col width="16" customWidth="1" min="14" max="14"/>
    <col width="13" customWidth="1" min="15" max="15"/>
    <col width="28" customWidth="1" min="16" max="16"/>
    <col width="14" customWidth="1" min="17" max="17"/>
    <col width="12" customWidth="1" min="18" max="18"/>
    <col width="16" customWidth="1" min="19" max="19"/>
    <col width="12" customWidth="1" min="20" max="20"/>
    <col width="40" customWidth="1" min="21" max="21"/>
  </cols>
  <sheetData>
    <row r="1">
      <c r="A1" s="9" t="inlineStr">
        <is>
          <t>Leads</t>
        </is>
      </c>
    </row>
    <row r="2">
      <c r="A2" s="10" t="inlineStr">
        <is>
          <t>Type in pale-yellow columns. Grey columns calculate automatically. Row 5 is a fictional example.</t>
        </is>
      </c>
    </row>
    <row r="4" ht="32" customHeight="1">
      <c r="A4" s="11" t="inlineStr">
        <is>
          <t>Company</t>
        </is>
      </c>
      <c r="B4" s="11" t="inlineStr">
        <is>
          <t>Owner / contact</t>
        </is>
      </c>
      <c r="C4" s="11" t="inlineStr">
        <is>
          <t>Phone</t>
        </is>
      </c>
      <c r="D4" s="11" t="inlineStr">
        <is>
          <t>Email</t>
        </is>
      </c>
      <c r="E4" s="11" t="inlineStr">
        <is>
          <t>Website</t>
        </is>
      </c>
      <c r="F4" s="11" t="inlineStr">
        <is>
          <t>City</t>
        </is>
      </c>
      <c r="G4" s="11" t="inlineStr">
        <is>
          <t>Techs (est.)</t>
        </is>
      </c>
      <c r="H4" s="11" t="inlineStr">
        <is>
          <t>Google rating</t>
        </is>
      </c>
      <c r="I4" s="11" t="inlineStr">
        <is>
          <t>Review count</t>
        </is>
      </c>
      <c r="J4" s="11" t="inlineStr">
        <is>
          <t>Source</t>
        </is>
      </c>
      <c r="K4" s="11" t="inlineStr">
        <is>
          <t>After-hours test (date &amp; time)</t>
        </is>
      </c>
      <c r="L4" s="11" t="inlineStr">
        <is>
          <t>After-hours result</t>
        </is>
      </c>
      <c r="M4" s="11" t="inlineStr">
        <is>
          <t>Priority</t>
        </is>
      </c>
      <c r="N4" s="11" t="inlineStr">
        <is>
          <t>Stage</t>
        </is>
      </c>
      <c r="O4" s="11" t="inlineStr">
        <is>
          <t>Last contact</t>
        </is>
      </c>
      <c r="P4" s="11" t="inlineStr">
        <is>
          <t>Next step</t>
        </is>
      </c>
      <c r="Q4" s="11" t="inlineStr">
        <is>
          <t>Next follow-up</t>
        </is>
      </c>
      <c r="R4" s="11" t="inlineStr">
        <is>
          <t>Days until follow-up</t>
        </is>
      </c>
      <c r="S4" s="11" t="inlineStr">
        <is>
          <t>Plan</t>
        </is>
      </c>
      <c r="T4" s="11" t="inlineStr">
        <is>
          <t>Monthly $</t>
        </is>
      </c>
      <c r="U4" s="11" t="inlineStr">
        <is>
          <t>Notes</t>
        </is>
      </c>
    </row>
    <row r="5">
      <c r="A5" s="12" t="inlineStr">
        <is>
          <t>EXAMPLE — Wasatch Comfort Heating &amp; Air (fictional)</t>
        </is>
      </c>
      <c r="B5" s="12" t="inlineStr">
        <is>
          <t>Mike Jensen</t>
        </is>
      </c>
      <c r="C5" s="12" t="inlineStr">
        <is>
          <t>(801) 555-0100</t>
        </is>
      </c>
      <c r="D5" s="12" t="inlineStr">
        <is>
          <t>mike@example.com</t>
        </is>
      </c>
      <c r="E5" s="12" t="inlineStr">
        <is>
          <t>example.com</t>
        </is>
      </c>
      <c r="F5" s="12" t="inlineStr">
        <is>
          <t>Sandy</t>
        </is>
      </c>
      <c r="G5" s="12" t="n">
        <v>6</v>
      </c>
      <c r="H5" s="13" t="n">
        <v>4.6</v>
      </c>
      <c r="I5" s="12" t="n">
        <v>87</v>
      </c>
      <c r="J5" s="12" t="inlineStr">
        <is>
          <t>Google Maps</t>
        </is>
      </c>
      <c r="K5" s="14" t="n">
        <v>46289.81944444445</v>
      </c>
      <c r="L5" s="12" t="inlineStr">
        <is>
          <t>Voicemail</t>
        </is>
      </c>
      <c r="M5" s="15">
        <f>IF(L5="","",IF(OR(L5="Voicemail",L5="No answer"),"High",IF(L5="Answering service","Medium","Low")))</f>
        <v/>
      </c>
      <c r="N5" s="12" t="inlineStr">
        <is>
          <t>Paying</t>
        </is>
      </c>
      <c r="O5" s="16" t="n">
        <v>46291</v>
      </c>
      <c r="P5" s="12" t="inlineStr">
        <is>
          <t>Day-30 pilot review meeting</t>
        </is>
      </c>
      <c r="Q5" s="16" t="n">
        <v>46297</v>
      </c>
      <c r="R5" s="17">
        <f>IF(Q5="","",Q5-TODAY())</f>
        <v/>
      </c>
      <c r="S5" s="12" t="inlineStr">
        <is>
          <t>Founding Starter</t>
        </is>
      </c>
      <c r="T5" s="18">
        <f>IF(OR(S5="",N5&lt;&gt;"Paying"),"",IFERROR(INDEX(Plans!$B$2:$B$20,MATCH(S5,Plans!$A$2:$A$20,0)),""))</f>
        <v/>
      </c>
      <c r="U5" s="19" t="inlineStr">
        <is>
          <t>Fictional example row. Went to voicemail at 7:40 PM. Owner interested in estimate follow-ups. Delete this row when you start.</t>
        </is>
      </c>
    </row>
    <row r="6">
      <c r="A6" s="20" t="n"/>
      <c r="B6" s="20" t="n"/>
      <c r="C6" s="20" t="n"/>
      <c r="D6" s="20" t="n"/>
      <c r="E6" s="20" t="n"/>
      <c r="F6" s="20" t="n"/>
      <c r="G6" s="20" t="n"/>
      <c r="H6" s="21" t="n"/>
      <c r="I6" s="20" t="n"/>
      <c r="J6" s="20" t="n"/>
      <c r="K6" s="22" t="n"/>
      <c r="L6" s="20" t="n"/>
      <c r="M6" s="15">
        <f>IF(L6="","",IF(OR(L6="Voicemail",L6="No answer"),"High",IF(L6="Answering service","Medium","Low")))</f>
        <v/>
      </c>
      <c r="N6" s="20" t="n"/>
      <c r="O6" s="23" t="n"/>
      <c r="P6" s="20" t="n"/>
      <c r="Q6" s="23" t="n"/>
      <c r="R6" s="17">
        <f>IF(Q6="","",Q6-TODAY())</f>
        <v/>
      </c>
      <c r="S6" s="20" t="n"/>
      <c r="T6" s="18">
        <f>IF(OR(S6="",N6&lt;&gt;"Paying"),"",IFERROR(INDEX(Plans!$B$2:$B$20,MATCH(S6,Plans!$A$2:$A$20,0)),""))</f>
        <v/>
      </c>
      <c r="U6" s="24" t="n"/>
    </row>
    <row r="7">
      <c r="A7" s="20" t="n"/>
      <c r="B7" s="20" t="n"/>
      <c r="C7" s="20" t="n"/>
      <c r="D7" s="20" t="n"/>
      <c r="E7" s="20" t="n"/>
      <c r="F7" s="20" t="n"/>
      <c r="G7" s="20" t="n"/>
      <c r="H7" s="21" t="n"/>
      <c r="I7" s="20" t="n"/>
      <c r="J7" s="20" t="n"/>
      <c r="K7" s="22" t="n"/>
      <c r="L7" s="20" t="n"/>
      <c r="M7" s="15">
        <f>IF(L7="","",IF(OR(L7="Voicemail",L7="No answer"),"High",IF(L7="Answering service","Medium","Low")))</f>
        <v/>
      </c>
      <c r="N7" s="20" t="n"/>
      <c r="O7" s="23" t="n"/>
      <c r="P7" s="20" t="n"/>
      <c r="Q7" s="23" t="n"/>
      <c r="R7" s="17">
        <f>IF(Q7="","",Q7-TODAY())</f>
        <v/>
      </c>
      <c r="S7" s="20" t="n"/>
      <c r="T7" s="18">
        <f>IF(OR(S7="",N7&lt;&gt;"Paying"),"",IFERROR(INDEX(Plans!$B$2:$B$20,MATCH(S7,Plans!$A$2:$A$20,0)),""))</f>
        <v/>
      </c>
      <c r="U7" s="24" t="n"/>
    </row>
    <row r="8">
      <c r="A8" s="20" t="n"/>
      <c r="B8" s="20" t="n"/>
      <c r="C8" s="20" t="n"/>
      <c r="D8" s="20" t="n"/>
      <c r="E8" s="20" t="n"/>
      <c r="F8" s="20" t="n"/>
      <c r="G8" s="20" t="n"/>
      <c r="H8" s="21" t="n"/>
      <c r="I8" s="20" t="n"/>
      <c r="J8" s="20" t="n"/>
      <c r="K8" s="22" t="n"/>
      <c r="L8" s="20" t="n"/>
      <c r="M8" s="15">
        <f>IF(L8="","",IF(OR(L8="Voicemail",L8="No answer"),"High",IF(L8="Answering service","Medium","Low")))</f>
        <v/>
      </c>
      <c r="N8" s="20" t="n"/>
      <c r="O8" s="23" t="n"/>
      <c r="P8" s="20" t="n"/>
      <c r="Q8" s="23" t="n"/>
      <c r="R8" s="17">
        <f>IF(Q8="","",Q8-TODAY())</f>
        <v/>
      </c>
      <c r="S8" s="20" t="n"/>
      <c r="T8" s="18">
        <f>IF(OR(S8="",N8&lt;&gt;"Paying"),"",IFERROR(INDEX(Plans!$B$2:$B$20,MATCH(S8,Plans!$A$2:$A$20,0)),""))</f>
        <v/>
      </c>
      <c r="U8" s="24" t="n"/>
    </row>
    <row r="9">
      <c r="A9" s="20" t="n"/>
      <c r="B9" s="20" t="n"/>
      <c r="C9" s="20" t="n"/>
      <c r="D9" s="20" t="n"/>
      <c r="E9" s="20" t="n"/>
      <c r="F9" s="20" t="n"/>
      <c r="G9" s="20" t="n"/>
      <c r="H9" s="21" t="n"/>
      <c r="I9" s="20" t="n"/>
      <c r="J9" s="20" t="n"/>
      <c r="K9" s="22" t="n"/>
      <c r="L9" s="20" t="n"/>
      <c r="M9" s="15">
        <f>IF(L9="","",IF(OR(L9="Voicemail",L9="No answer"),"High",IF(L9="Answering service","Medium","Low")))</f>
        <v/>
      </c>
      <c r="N9" s="20" t="n"/>
      <c r="O9" s="23" t="n"/>
      <c r="P9" s="20" t="n"/>
      <c r="Q9" s="23" t="n"/>
      <c r="R9" s="17">
        <f>IF(Q9="","",Q9-TODAY())</f>
        <v/>
      </c>
      <c r="S9" s="20" t="n"/>
      <c r="T9" s="18">
        <f>IF(OR(S9="",N9&lt;&gt;"Paying"),"",IFERROR(INDEX(Plans!$B$2:$B$20,MATCH(S9,Plans!$A$2:$A$20,0)),""))</f>
        <v/>
      </c>
      <c r="U9" s="24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1" t="n"/>
      <c r="I10" s="20" t="n"/>
      <c r="J10" s="20" t="n"/>
      <c r="K10" s="22" t="n"/>
      <c r="L10" s="20" t="n"/>
      <c r="M10" s="15">
        <f>IF(L10="","",IF(OR(L10="Voicemail",L10="No answer"),"High",IF(L10="Answering service","Medium","Low")))</f>
        <v/>
      </c>
      <c r="N10" s="20" t="n"/>
      <c r="O10" s="23" t="n"/>
      <c r="P10" s="20" t="n"/>
      <c r="Q10" s="23" t="n"/>
      <c r="R10" s="17">
        <f>IF(Q10="","",Q10-TODAY())</f>
        <v/>
      </c>
      <c r="S10" s="20" t="n"/>
      <c r="T10" s="18">
        <f>IF(OR(S10="",N10&lt;&gt;"Paying"),"",IFERROR(INDEX(Plans!$B$2:$B$20,MATCH(S10,Plans!$A$2:$A$20,0)),""))</f>
        <v/>
      </c>
      <c r="U10" s="24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1" t="n"/>
      <c r="I11" s="20" t="n"/>
      <c r="J11" s="20" t="n"/>
      <c r="K11" s="22" t="n"/>
      <c r="L11" s="20" t="n"/>
      <c r="M11" s="15">
        <f>IF(L11="","",IF(OR(L11="Voicemail",L11="No answer"),"High",IF(L11="Answering service","Medium","Low")))</f>
        <v/>
      </c>
      <c r="N11" s="20" t="n"/>
      <c r="O11" s="23" t="n"/>
      <c r="P11" s="20" t="n"/>
      <c r="Q11" s="23" t="n"/>
      <c r="R11" s="17">
        <f>IF(Q11="","",Q11-TODAY())</f>
        <v/>
      </c>
      <c r="S11" s="20" t="n"/>
      <c r="T11" s="18">
        <f>IF(OR(S11="",N11&lt;&gt;"Paying"),"",IFERROR(INDEX(Plans!$B$2:$B$20,MATCH(S11,Plans!$A$2:$A$20,0)),""))</f>
        <v/>
      </c>
      <c r="U11" s="24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1" t="n"/>
      <c r="I12" s="20" t="n"/>
      <c r="J12" s="20" t="n"/>
      <c r="K12" s="22" t="n"/>
      <c r="L12" s="20" t="n"/>
      <c r="M12" s="15">
        <f>IF(L12="","",IF(OR(L12="Voicemail",L12="No answer"),"High",IF(L12="Answering service","Medium","Low")))</f>
        <v/>
      </c>
      <c r="N12" s="20" t="n"/>
      <c r="O12" s="23" t="n"/>
      <c r="P12" s="20" t="n"/>
      <c r="Q12" s="23" t="n"/>
      <c r="R12" s="17">
        <f>IF(Q12="","",Q12-TODAY())</f>
        <v/>
      </c>
      <c r="S12" s="20" t="n"/>
      <c r="T12" s="18">
        <f>IF(OR(S12="",N12&lt;&gt;"Paying"),"",IFERROR(INDEX(Plans!$B$2:$B$20,MATCH(S12,Plans!$A$2:$A$20,0)),""))</f>
        <v/>
      </c>
      <c r="U12" s="24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1" t="n"/>
      <c r="I13" s="20" t="n"/>
      <c r="J13" s="20" t="n"/>
      <c r="K13" s="22" t="n"/>
      <c r="L13" s="20" t="n"/>
      <c r="M13" s="15">
        <f>IF(L13="","",IF(OR(L13="Voicemail",L13="No answer"),"High",IF(L13="Answering service","Medium","Low")))</f>
        <v/>
      </c>
      <c r="N13" s="20" t="n"/>
      <c r="O13" s="23" t="n"/>
      <c r="P13" s="20" t="n"/>
      <c r="Q13" s="23" t="n"/>
      <c r="R13" s="17">
        <f>IF(Q13="","",Q13-TODAY())</f>
        <v/>
      </c>
      <c r="S13" s="20" t="n"/>
      <c r="T13" s="18">
        <f>IF(OR(S13="",N13&lt;&gt;"Paying"),"",IFERROR(INDEX(Plans!$B$2:$B$20,MATCH(S13,Plans!$A$2:$A$20,0)),""))</f>
        <v/>
      </c>
      <c r="U13" s="24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1" t="n"/>
      <c r="I14" s="20" t="n"/>
      <c r="J14" s="20" t="n"/>
      <c r="K14" s="22" t="n"/>
      <c r="L14" s="20" t="n"/>
      <c r="M14" s="15">
        <f>IF(L14="","",IF(OR(L14="Voicemail",L14="No answer"),"High",IF(L14="Answering service","Medium","Low")))</f>
        <v/>
      </c>
      <c r="N14" s="20" t="n"/>
      <c r="O14" s="23" t="n"/>
      <c r="P14" s="20" t="n"/>
      <c r="Q14" s="23" t="n"/>
      <c r="R14" s="17">
        <f>IF(Q14="","",Q14-TODAY())</f>
        <v/>
      </c>
      <c r="S14" s="20" t="n"/>
      <c r="T14" s="18">
        <f>IF(OR(S14="",N14&lt;&gt;"Paying"),"",IFERROR(INDEX(Plans!$B$2:$B$20,MATCH(S14,Plans!$A$2:$A$20,0)),""))</f>
        <v/>
      </c>
      <c r="U14" s="24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1" t="n"/>
      <c r="I15" s="20" t="n"/>
      <c r="J15" s="20" t="n"/>
      <c r="K15" s="22" t="n"/>
      <c r="L15" s="20" t="n"/>
      <c r="M15" s="15">
        <f>IF(L15="","",IF(OR(L15="Voicemail",L15="No answer"),"High",IF(L15="Answering service","Medium","Low")))</f>
        <v/>
      </c>
      <c r="N15" s="20" t="n"/>
      <c r="O15" s="23" t="n"/>
      <c r="P15" s="20" t="n"/>
      <c r="Q15" s="23" t="n"/>
      <c r="R15" s="17">
        <f>IF(Q15="","",Q15-TODAY())</f>
        <v/>
      </c>
      <c r="S15" s="20" t="n"/>
      <c r="T15" s="18">
        <f>IF(OR(S15="",N15&lt;&gt;"Paying"),"",IFERROR(INDEX(Plans!$B$2:$B$20,MATCH(S15,Plans!$A$2:$A$20,0)),""))</f>
        <v/>
      </c>
      <c r="U15" s="24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1" t="n"/>
      <c r="I16" s="20" t="n"/>
      <c r="J16" s="20" t="n"/>
      <c r="K16" s="22" t="n"/>
      <c r="L16" s="20" t="n"/>
      <c r="M16" s="15">
        <f>IF(L16="","",IF(OR(L16="Voicemail",L16="No answer"),"High",IF(L16="Answering service","Medium","Low")))</f>
        <v/>
      </c>
      <c r="N16" s="20" t="n"/>
      <c r="O16" s="23" t="n"/>
      <c r="P16" s="20" t="n"/>
      <c r="Q16" s="23" t="n"/>
      <c r="R16" s="17">
        <f>IF(Q16="","",Q16-TODAY())</f>
        <v/>
      </c>
      <c r="S16" s="20" t="n"/>
      <c r="T16" s="18">
        <f>IF(OR(S16="",N16&lt;&gt;"Paying"),"",IFERROR(INDEX(Plans!$B$2:$B$20,MATCH(S16,Plans!$A$2:$A$20,0)),""))</f>
        <v/>
      </c>
      <c r="U16" s="24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1" t="n"/>
      <c r="I17" s="20" t="n"/>
      <c r="J17" s="20" t="n"/>
      <c r="K17" s="22" t="n"/>
      <c r="L17" s="20" t="n"/>
      <c r="M17" s="15">
        <f>IF(L17="","",IF(OR(L17="Voicemail",L17="No answer"),"High",IF(L17="Answering service","Medium","Low")))</f>
        <v/>
      </c>
      <c r="N17" s="20" t="n"/>
      <c r="O17" s="23" t="n"/>
      <c r="P17" s="20" t="n"/>
      <c r="Q17" s="23" t="n"/>
      <c r="R17" s="17">
        <f>IF(Q17="","",Q17-TODAY())</f>
        <v/>
      </c>
      <c r="S17" s="20" t="n"/>
      <c r="T17" s="18">
        <f>IF(OR(S17="",N17&lt;&gt;"Paying"),"",IFERROR(INDEX(Plans!$B$2:$B$20,MATCH(S17,Plans!$A$2:$A$20,0)),""))</f>
        <v/>
      </c>
      <c r="U17" s="24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1" t="n"/>
      <c r="I18" s="20" t="n"/>
      <c r="J18" s="20" t="n"/>
      <c r="K18" s="22" t="n"/>
      <c r="L18" s="20" t="n"/>
      <c r="M18" s="15">
        <f>IF(L18="","",IF(OR(L18="Voicemail",L18="No answer"),"High",IF(L18="Answering service","Medium","Low")))</f>
        <v/>
      </c>
      <c r="N18" s="20" t="n"/>
      <c r="O18" s="23" t="n"/>
      <c r="P18" s="20" t="n"/>
      <c r="Q18" s="23" t="n"/>
      <c r="R18" s="17">
        <f>IF(Q18="","",Q18-TODAY())</f>
        <v/>
      </c>
      <c r="S18" s="20" t="n"/>
      <c r="T18" s="18">
        <f>IF(OR(S18="",N18&lt;&gt;"Paying"),"",IFERROR(INDEX(Plans!$B$2:$B$20,MATCH(S18,Plans!$A$2:$A$20,0)),""))</f>
        <v/>
      </c>
      <c r="U18" s="24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1" t="n"/>
      <c r="I19" s="20" t="n"/>
      <c r="J19" s="20" t="n"/>
      <c r="K19" s="22" t="n"/>
      <c r="L19" s="20" t="n"/>
      <c r="M19" s="15">
        <f>IF(L19="","",IF(OR(L19="Voicemail",L19="No answer"),"High",IF(L19="Answering service","Medium","Low")))</f>
        <v/>
      </c>
      <c r="N19" s="20" t="n"/>
      <c r="O19" s="23" t="n"/>
      <c r="P19" s="20" t="n"/>
      <c r="Q19" s="23" t="n"/>
      <c r="R19" s="17">
        <f>IF(Q19="","",Q19-TODAY())</f>
        <v/>
      </c>
      <c r="S19" s="20" t="n"/>
      <c r="T19" s="18">
        <f>IF(OR(S19="",N19&lt;&gt;"Paying"),"",IFERROR(INDEX(Plans!$B$2:$B$20,MATCH(S19,Plans!$A$2:$A$20,0)),""))</f>
        <v/>
      </c>
      <c r="U19" s="24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1" t="n"/>
      <c r="I20" s="20" t="n"/>
      <c r="J20" s="20" t="n"/>
      <c r="K20" s="22" t="n"/>
      <c r="L20" s="20" t="n"/>
      <c r="M20" s="15">
        <f>IF(L20="","",IF(OR(L20="Voicemail",L20="No answer"),"High",IF(L20="Answering service","Medium","Low")))</f>
        <v/>
      </c>
      <c r="N20" s="20" t="n"/>
      <c r="O20" s="23" t="n"/>
      <c r="P20" s="20" t="n"/>
      <c r="Q20" s="23" t="n"/>
      <c r="R20" s="17">
        <f>IF(Q20="","",Q20-TODAY())</f>
        <v/>
      </c>
      <c r="S20" s="20" t="n"/>
      <c r="T20" s="18">
        <f>IF(OR(S20="",N20&lt;&gt;"Paying"),"",IFERROR(INDEX(Plans!$B$2:$B$20,MATCH(S20,Plans!$A$2:$A$20,0)),""))</f>
        <v/>
      </c>
      <c r="U20" s="24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1" t="n"/>
      <c r="I21" s="20" t="n"/>
      <c r="J21" s="20" t="n"/>
      <c r="K21" s="22" t="n"/>
      <c r="L21" s="20" t="n"/>
      <c r="M21" s="15">
        <f>IF(L21="","",IF(OR(L21="Voicemail",L21="No answer"),"High",IF(L21="Answering service","Medium","Low")))</f>
        <v/>
      </c>
      <c r="N21" s="20" t="n"/>
      <c r="O21" s="23" t="n"/>
      <c r="P21" s="20" t="n"/>
      <c r="Q21" s="23" t="n"/>
      <c r="R21" s="17">
        <f>IF(Q21="","",Q21-TODAY())</f>
        <v/>
      </c>
      <c r="S21" s="20" t="n"/>
      <c r="T21" s="18">
        <f>IF(OR(S21="",N21&lt;&gt;"Paying"),"",IFERROR(INDEX(Plans!$B$2:$B$20,MATCH(S21,Plans!$A$2:$A$20,0)),""))</f>
        <v/>
      </c>
      <c r="U21" s="24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1" t="n"/>
      <c r="I22" s="20" t="n"/>
      <c r="J22" s="20" t="n"/>
      <c r="K22" s="22" t="n"/>
      <c r="L22" s="20" t="n"/>
      <c r="M22" s="15">
        <f>IF(L22="","",IF(OR(L22="Voicemail",L22="No answer"),"High",IF(L22="Answering service","Medium","Low")))</f>
        <v/>
      </c>
      <c r="N22" s="20" t="n"/>
      <c r="O22" s="23" t="n"/>
      <c r="P22" s="20" t="n"/>
      <c r="Q22" s="23" t="n"/>
      <c r="R22" s="17">
        <f>IF(Q22="","",Q22-TODAY())</f>
        <v/>
      </c>
      <c r="S22" s="20" t="n"/>
      <c r="T22" s="18">
        <f>IF(OR(S22="",N22&lt;&gt;"Paying"),"",IFERROR(INDEX(Plans!$B$2:$B$20,MATCH(S22,Plans!$A$2:$A$20,0)),""))</f>
        <v/>
      </c>
      <c r="U22" s="24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1" t="n"/>
      <c r="I23" s="20" t="n"/>
      <c r="J23" s="20" t="n"/>
      <c r="K23" s="22" t="n"/>
      <c r="L23" s="20" t="n"/>
      <c r="M23" s="15">
        <f>IF(L23="","",IF(OR(L23="Voicemail",L23="No answer"),"High",IF(L23="Answering service","Medium","Low")))</f>
        <v/>
      </c>
      <c r="N23" s="20" t="n"/>
      <c r="O23" s="23" t="n"/>
      <c r="P23" s="20" t="n"/>
      <c r="Q23" s="23" t="n"/>
      <c r="R23" s="17">
        <f>IF(Q23="","",Q23-TODAY())</f>
        <v/>
      </c>
      <c r="S23" s="20" t="n"/>
      <c r="T23" s="18">
        <f>IF(OR(S23="",N23&lt;&gt;"Paying"),"",IFERROR(INDEX(Plans!$B$2:$B$20,MATCH(S23,Plans!$A$2:$A$20,0)),""))</f>
        <v/>
      </c>
      <c r="U23" s="24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1" t="n"/>
      <c r="I24" s="20" t="n"/>
      <c r="J24" s="20" t="n"/>
      <c r="K24" s="22" t="n"/>
      <c r="L24" s="20" t="n"/>
      <c r="M24" s="15">
        <f>IF(L24="","",IF(OR(L24="Voicemail",L24="No answer"),"High",IF(L24="Answering service","Medium","Low")))</f>
        <v/>
      </c>
      <c r="N24" s="20" t="n"/>
      <c r="O24" s="23" t="n"/>
      <c r="P24" s="20" t="n"/>
      <c r="Q24" s="23" t="n"/>
      <c r="R24" s="17">
        <f>IF(Q24="","",Q24-TODAY())</f>
        <v/>
      </c>
      <c r="S24" s="20" t="n"/>
      <c r="T24" s="18">
        <f>IF(OR(S24="",N24&lt;&gt;"Paying"),"",IFERROR(INDEX(Plans!$B$2:$B$20,MATCH(S24,Plans!$A$2:$A$20,0)),""))</f>
        <v/>
      </c>
      <c r="U24" s="24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1" t="n"/>
      <c r="I25" s="20" t="n"/>
      <c r="J25" s="20" t="n"/>
      <c r="K25" s="22" t="n"/>
      <c r="L25" s="20" t="n"/>
      <c r="M25" s="15">
        <f>IF(L25="","",IF(OR(L25="Voicemail",L25="No answer"),"High",IF(L25="Answering service","Medium","Low")))</f>
        <v/>
      </c>
      <c r="N25" s="20" t="n"/>
      <c r="O25" s="23" t="n"/>
      <c r="P25" s="20" t="n"/>
      <c r="Q25" s="23" t="n"/>
      <c r="R25" s="17">
        <f>IF(Q25="","",Q25-TODAY())</f>
        <v/>
      </c>
      <c r="S25" s="20" t="n"/>
      <c r="T25" s="18">
        <f>IF(OR(S25="",N25&lt;&gt;"Paying"),"",IFERROR(INDEX(Plans!$B$2:$B$20,MATCH(S25,Plans!$A$2:$A$20,0)),""))</f>
        <v/>
      </c>
      <c r="U25" s="24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1" t="n"/>
      <c r="I26" s="20" t="n"/>
      <c r="J26" s="20" t="n"/>
      <c r="K26" s="22" t="n"/>
      <c r="L26" s="20" t="n"/>
      <c r="M26" s="15">
        <f>IF(L26="","",IF(OR(L26="Voicemail",L26="No answer"),"High",IF(L26="Answering service","Medium","Low")))</f>
        <v/>
      </c>
      <c r="N26" s="20" t="n"/>
      <c r="O26" s="23" t="n"/>
      <c r="P26" s="20" t="n"/>
      <c r="Q26" s="23" t="n"/>
      <c r="R26" s="17">
        <f>IF(Q26="","",Q26-TODAY())</f>
        <v/>
      </c>
      <c r="S26" s="20" t="n"/>
      <c r="T26" s="18">
        <f>IF(OR(S26="",N26&lt;&gt;"Paying"),"",IFERROR(INDEX(Plans!$B$2:$B$20,MATCH(S26,Plans!$A$2:$A$20,0)),""))</f>
        <v/>
      </c>
      <c r="U26" s="24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1" t="n"/>
      <c r="I27" s="20" t="n"/>
      <c r="J27" s="20" t="n"/>
      <c r="K27" s="22" t="n"/>
      <c r="L27" s="20" t="n"/>
      <c r="M27" s="15">
        <f>IF(L27="","",IF(OR(L27="Voicemail",L27="No answer"),"High",IF(L27="Answering service","Medium","Low")))</f>
        <v/>
      </c>
      <c r="N27" s="20" t="n"/>
      <c r="O27" s="23" t="n"/>
      <c r="P27" s="20" t="n"/>
      <c r="Q27" s="23" t="n"/>
      <c r="R27" s="17">
        <f>IF(Q27="","",Q27-TODAY())</f>
        <v/>
      </c>
      <c r="S27" s="20" t="n"/>
      <c r="T27" s="18">
        <f>IF(OR(S27="",N27&lt;&gt;"Paying"),"",IFERROR(INDEX(Plans!$B$2:$B$20,MATCH(S27,Plans!$A$2:$A$20,0)),""))</f>
        <v/>
      </c>
      <c r="U27" s="24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1" t="n"/>
      <c r="I28" s="20" t="n"/>
      <c r="J28" s="20" t="n"/>
      <c r="K28" s="22" t="n"/>
      <c r="L28" s="20" t="n"/>
      <c r="M28" s="15">
        <f>IF(L28="","",IF(OR(L28="Voicemail",L28="No answer"),"High",IF(L28="Answering service","Medium","Low")))</f>
        <v/>
      </c>
      <c r="N28" s="20" t="n"/>
      <c r="O28" s="23" t="n"/>
      <c r="P28" s="20" t="n"/>
      <c r="Q28" s="23" t="n"/>
      <c r="R28" s="17">
        <f>IF(Q28="","",Q28-TODAY())</f>
        <v/>
      </c>
      <c r="S28" s="20" t="n"/>
      <c r="T28" s="18">
        <f>IF(OR(S28="",N28&lt;&gt;"Paying"),"",IFERROR(INDEX(Plans!$B$2:$B$20,MATCH(S28,Plans!$A$2:$A$20,0)),""))</f>
        <v/>
      </c>
      <c r="U28" s="24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1" t="n"/>
      <c r="I29" s="20" t="n"/>
      <c r="J29" s="20" t="n"/>
      <c r="K29" s="22" t="n"/>
      <c r="L29" s="20" t="n"/>
      <c r="M29" s="15">
        <f>IF(L29="","",IF(OR(L29="Voicemail",L29="No answer"),"High",IF(L29="Answering service","Medium","Low")))</f>
        <v/>
      </c>
      <c r="N29" s="20" t="n"/>
      <c r="O29" s="23" t="n"/>
      <c r="P29" s="20" t="n"/>
      <c r="Q29" s="23" t="n"/>
      <c r="R29" s="17">
        <f>IF(Q29="","",Q29-TODAY())</f>
        <v/>
      </c>
      <c r="S29" s="20" t="n"/>
      <c r="T29" s="18">
        <f>IF(OR(S29="",N29&lt;&gt;"Paying"),"",IFERROR(INDEX(Plans!$B$2:$B$20,MATCH(S29,Plans!$A$2:$A$20,0)),""))</f>
        <v/>
      </c>
      <c r="U29" s="24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1" t="n"/>
      <c r="I30" s="20" t="n"/>
      <c r="J30" s="20" t="n"/>
      <c r="K30" s="22" t="n"/>
      <c r="L30" s="20" t="n"/>
      <c r="M30" s="15">
        <f>IF(L30="","",IF(OR(L30="Voicemail",L30="No answer"),"High",IF(L30="Answering service","Medium","Low")))</f>
        <v/>
      </c>
      <c r="N30" s="20" t="n"/>
      <c r="O30" s="23" t="n"/>
      <c r="P30" s="20" t="n"/>
      <c r="Q30" s="23" t="n"/>
      <c r="R30" s="17">
        <f>IF(Q30="","",Q30-TODAY())</f>
        <v/>
      </c>
      <c r="S30" s="20" t="n"/>
      <c r="T30" s="18">
        <f>IF(OR(S30="",N30&lt;&gt;"Paying"),"",IFERROR(INDEX(Plans!$B$2:$B$20,MATCH(S30,Plans!$A$2:$A$20,0)),""))</f>
        <v/>
      </c>
      <c r="U30" s="24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1" t="n"/>
      <c r="I31" s="20" t="n"/>
      <c r="J31" s="20" t="n"/>
      <c r="K31" s="22" t="n"/>
      <c r="L31" s="20" t="n"/>
      <c r="M31" s="15">
        <f>IF(L31="","",IF(OR(L31="Voicemail",L31="No answer"),"High",IF(L31="Answering service","Medium","Low")))</f>
        <v/>
      </c>
      <c r="N31" s="20" t="n"/>
      <c r="O31" s="23" t="n"/>
      <c r="P31" s="20" t="n"/>
      <c r="Q31" s="23" t="n"/>
      <c r="R31" s="17">
        <f>IF(Q31="","",Q31-TODAY())</f>
        <v/>
      </c>
      <c r="S31" s="20" t="n"/>
      <c r="T31" s="18">
        <f>IF(OR(S31="",N31&lt;&gt;"Paying"),"",IFERROR(INDEX(Plans!$B$2:$B$20,MATCH(S31,Plans!$A$2:$A$20,0)),""))</f>
        <v/>
      </c>
      <c r="U31" s="24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1" t="n"/>
      <c r="I32" s="20" t="n"/>
      <c r="J32" s="20" t="n"/>
      <c r="K32" s="22" t="n"/>
      <c r="L32" s="20" t="n"/>
      <c r="M32" s="15">
        <f>IF(L32="","",IF(OR(L32="Voicemail",L32="No answer"),"High",IF(L32="Answering service","Medium","Low")))</f>
        <v/>
      </c>
      <c r="N32" s="20" t="n"/>
      <c r="O32" s="23" t="n"/>
      <c r="P32" s="20" t="n"/>
      <c r="Q32" s="23" t="n"/>
      <c r="R32" s="17">
        <f>IF(Q32="","",Q32-TODAY())</f>
        <v/>
      </c>
      <c r="S32" s="20" t="n"/>
      <c r="T32" s="18">
        <f>IF(OR(S32="",N32&lt;&gt;"Paying"),"",IFERROR(INDEX(Plans!$B$2:$B$20,MATCH(S32,Plans!$A$2:$A$20,0)),""))</f>
        <v/>
      </c>
      <c r="U32" s="24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1" t="n"/>
      <c r="I33" s="20" t="n"/>
      <c r="J33" s="20" t="n"/>
      <c r="K33" s="22" t="n"/>
      <c r="L33" s="20" t="n"/>
      <c r="M33" s="15">
        <f>IF(L33="","",IF(OR(L33="Voicemail",L33="No answer"),"High",IF(L33="Answering service","Medium","Low")))</f>
        <v/>
      </c>
      <c r="N33" s="20" t="n"/>
      <c r="O33" s="23" t="n"/>
      <c r="P33" s="20" t="n"/>
      <c r="Q33" s="23" t="n"/>
      <c r="R33" s="17">
        <f>IF(Q33="","",Q33-TODAY())</f>
        <v/>
      </c>
      <c r="S33" s="20" t="n"/>
      <c r="T33" s="18">
        <f>IF(OR(S33="",N33&lt;&gt;"Paying"),"",IFERROR(INDEX(Plans!$B$2:$B$20,MATCH(S33,Plans!$A$2:$A$20,0)),""))</f>
        <v/>
      </c>
      <c r="U33" s="24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1" t="n"/>
      <c r="I34" s="20" t="n"/>
      <c r="J34" s="20" t="n"/>
      <c r="K34" s="22" t="n"/>
      <c r="L34" s="20" t="n"/>
      <c r="M34" s="15">
        <f>IF(L34="","",IF(OR(L34="Voicemail",L34="No answer"),"High",IF(L34="Answering service","Medium","Low")))</f>
        <v/>
      </c>
      <c r="N34" s="20" t="n"/>
      <c r="O34" s="23" t="n"/>
      <c r="P34" s="20" t="n"/>
      <c r="Q34" s="23" t="n"/>
      <c r="R34" s="17">
        <f>IF(Q34="","",Q34-TODAY())</f>
        <v/>
      </c>
      <c r="S34" s="20" t="n"/>
      <c r="T34" s="18">
        <f>IF(OR(S34="",N34&lt;&gt;"Paying"),"",IFERROR(INDEX(Plans!$B$2:$B$20,MATCH(S34,Plans!$A$2:$A$20,0)),""))</f>
        <v/>
      </c>
      <c r="U34" s="24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1" t="n"/>
      <c r="I35" s="20" t="n"/>
      <c r="J35" s="20" t="n"/>
      <c r="K35" s="22" t="n"/>
      <c r="L35" s="20" t="n"/>
      <c r="M35" s="15">
        <f>IF(L35="","",IF(OR(L35="Voicemail",L35="No answer"),"High",IF(L35="Answering service","Medium","Low")))</f>
        <v/>
      </c>
      <c r="N35" s="20" t="n"/>
      <c r="O35" s="23" t="n"/>
      <c r="P35" s="20" t="n"/>
      <c r="Q35" s="23" t="n"/>
      <c r="R35" s="17">
        <f>IF(Q35="","",Q35-TODAY())</f>
        <v/>
      </c>
      <c r="S35" s="20" t="n"/>
      <c r="T35" s="18">
        <f>IF(OR(S35="",N35&lt;&gt;"Paying"),"",IFERROR(INDEX(Plans!$B$2:$B$20,MATCH(S35,Plans!$A$2:$A$20,0)),""))</f>
        <v/>
      </c>
      <c r="U35" s="24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1" t="n"/>
      <c r="I36" s="20" t="n"/>
      <c r="J36" s="20" t="n"/>
      <c r="K36" s="22" t="n"/>
      <c r="L36" s="20" t="n"/>
      <c r="M36" s="15">
        <f>IF(L36="","",IF(OR(L36="Voicemail",L36="No answer"),"High",IF(L36="Answering service","Medium","Low")))</f>
        <v/>
      </c>
      <c r="N36" s="20" t="n"/>
      <c r="O36" s="23" t="n"/>
      <c r="P36" s="20" t="n"/>
      <c r="Q36" s="23" t="n"/>
      <c r="R36" s="17">
        <f>IF(Q36="","",Q36-TODAY())</f>
        <v/>
      </c>
      <c r="S36" s="20" t="n"/>
      <c r="T36" s="18">
        <f>IF(OR(S36="",N36&lt;&gt;"Paying"),"",IFERROR(INDEX(Plans!$B$2:$B$20,MATCH(S36,Plans!$A$2:$A$20,0)),""))</f>
        <v/>
      </c>
      <c r="U36" s="24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1" t="n"/>
      <c r="I37" s="20" t="n"/>
      <c r="J37" s="20" t="n"/>
      <c r="K37" s="22" t="n"/>
      <c r="L37" s="20" t="n"/>
      <c r="M37" s="15">
        <f>IF(L37="","",IF(OR(L37="Voicemail",L37="No answer"),"High",IF(L37="Answering service","Medium","Low")))</f>
        <v/>
      </c>
      <c r="N37" s="20" t="n"/>
      <c r="O37" s="23" t="n"/>
      <c r="P37" s="20" t="n"/>
      <c r="Q37" s="23" t="n"/>
      <c r="R37" s="17">
        <f>IF(Q37="","",Q37-TODAY())</f>
        <v/>
      </c>
      <c r="S37" s="20" t="n"/>
      <c r="T37" s="18">
        <f>IF(OR(S37="",N37&lt;&gt;"Paying"),"",IFERROR(INDEX(Plans!$B$2:$B$20,MATCH(S37,Plans!$A$2:$A$20,0)),""))</f>
        <v/>
      </c>
      <c r="U37" s="24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1" t="n"/>
      <c r="I38" s="20" t="n"/>
      <c r="J38" s="20" t="n"/>
      <c r="K38" s="22" t="n"/>
      <c r="L38" s="20" t="n"/>
      <c r="M38" s="15">
        <f>IF(L38="","",IF(OR(L38="Voicemail",L38="No answer"),"High",IF(L38="Answering service","Medium","Low")))</f>
        <v/>
      </c>
      <c r="N38" s="20" t="n"/>
      <c r="O38" s="23" t="n"/>
      <c r="P38" s="20" t="n"/>
      <c r="Q38" s="23" t="n"/>
      <c r="R38" s="17">
        <f>IF(Q38="","",Q38-TODAY())</f>
        <v/>
      </c>
      <c r="S38" s="20" t="n"/>
      <c r="T38" s="18">
        <f>IF(OR(S38="",N38&lt;&gt;"Paying"),"",IFERROR(INDEX(Plans!$B$2:$B$20,MATCH(S38,Plans!$A$2:$A$20,0)),""))</f>
        <v/>
      </c>
      <c r="U38" s="24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1" t="n"/>
      <c r="I39" s="20" t="n"/>
      <c r="J39" s="20" t="n"/>
      <c r="K39" s="22" t="n"/>
      <c r="L39" s="20" t="n"/>
      <c r="M39" s="15">
        <f>IF(L39="","",IF(OR(L39="Voicemail",L39="No answer"),"High",IF(L39="Answering service","Medium","Low")))</f>
        <v/>
      </c>
      <c r="N39" s="20" t="n"/>
      <c r="O39" s="23" t="n"/>
      <c r="P39" s="20" t="n"/>
      <c r="Q39" s="23" t="n"/>
      <c r="R39" s="17">
        <f>IF(Q39="","",Q39-TODAY())</f>
        <v/>
      </c>
      <c r="S39" s="20" t="n"/>
      <c r="T39" s="18">
        <f>IF(OR(S39="",N39&lt;&gt;"Paying"),"",IFERROR(INDEX(Plans!$B$2:$B$20,MATCH(S39,Plans!$A$2:$A$20,0)),""))</f>
        <v/>
      </c>
      <c r="U39" s="24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1" t="n"/>
      <c r="I40" s="20" t="n"/>
      <c r="J40" s="20" t="n"/>
      <c r="K40" s="22" t="n"/>
      <c r="L40" s="20" t="n"/>
      <c r="M40" s="15">
        <f>IF(L40="","",IF(OR(L40="Voicemail",L40="No answer"),"High",IF(L40="Answering service","Medium","Low")))</f>
        <v/>
      </c>
      <c r="N40" s="20" t="n"/>
      <c r="O40" s="23" t="n"/>
      <c r="P40" s="20" t="n"/>
      <c r="Q40" s="23" t="n"/>
      <c r="R40" s="17">
        <f>IF(Q40="","",Q40-TODAY())</f>
        <v/>
      </c>
      <c r="S40" s="20" t="n"/>
      <c r="T40" s="18">
        <f>IF(OR(S40="",N40&lt;&gt;"Paying"),"",IFERROR(INDEX(Plans!$B$2:$B$20,MATCH(S40,Plans!$A$2:$A$20,0)),""))</f>
        <v/>
      </c>
      <c r="U40" s="24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1" t="n"/>
      <c r="I41" s="20" t="n"/>
      <c r="J41" s="20" t="n"/>
      <c r="K41" s="22" t="n"/>
      <c r="L41" s="20" t="n"/>
      <c r="M41" s="15">
        <f>IF(L41="","",IF(OR(L41="Voicemail",L41="No answer"),"High",IF(L41="Answering service","Medium","Low")))</f>
        <v/>
      </c>
      <c r="N41" s="20" t="n"/>
      <c r="O41" s="23" t="n"/>
      <c r="P41" s="20" t="n"/>
      <c r="Q41" s="23" t="n"/>
      <c r="R41" s="17">
        <f>IF(Q41="","",Q41-TODAY())</f>
        <v/>
      </c>
      <c r="S41" s="20" t="n"/>
      <c r="T41" s="18">
        <f>IF(OR(S41="",N41&lt;&gt;"Paying"),"",IFERROR(INDEX(Plans!$B$2:$B$20,MATCH(S41,Plans!$A$2:$A$20,0)),""))</f>
        <v/>
      </c>
      <c r="U41" s="24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1" t="n"/>
      <c r="I42" s="20" t="n"/>
      <c r="J42" s="20" t="n"/>
      <c r="K42" s="22" t="n"/>
      <c r="L42" s="20" t="n"/>
      <c r="M42" s="15">
        <f>IF(L42="","",IF(OR(L42="Voicemail",L42="No answer"),"High",IF(L42="Answering service","Medium","Low")))</f>
        <v/>
      </c>
      <c r="N42" s="20" t="n"/>
      <c r="O42" s="23" t="n"/>
      <c r="P42" s="20" t="n"/>
      <c r="Q42" s="23" t="n"/>
      <c r="R42" s="17">
        <f>IF(Q42="","",Q42-TODAY())</f>
        <v/>
      </c>
      <c r="S42" s="20" t="n"/>
      <c r="T42" s="18">
        <f>IF(OR(S42="",N42&lt;&gt;"Paying"),"",IFERROR(INDEX(Plans!$B$2:$B$20,MATCH(S42,Plans!$A$2:$A$20,0)),""))</f>
        <v/>
      </c>
      <c r="U42" s="24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1" t="n"/>
      <c r="I43" s="20" t="n"/>
      <c r="J43" s="20" t="n"/>
      <c r="K43" s="22" t="n"/>
      <c r="L43" s="20" t="n"/>
      <c r="M43" s="15">
        <f>IF(L43="","",IF(OR(L43="Voicemail",L43="No answer"),"High",IF(L43="Answering service","Medium","Low")))</f>
        <v/>
      </c>
      <c r="N43" s="20" t="n"/>
      <c r="O43" s="23" t="n"/>
      <c r="P43" s="20" t="n"/>
      <c r="Q43" s="23" t="n"/>
      <c r="R43" s="17">
        <f>IF(Q43="","",Q43-TODAY())</f>
        <v/>
      </c>
      <c r="S43" s="20" t="n"/>
      <c r="T43" s="18">
        <f>IF(OR(S43="",N43&lt;&gt;"Paying"),"",IFERROR(INDEX(Plans!$B$2:$B$20,MATCH(S43,Plans!$A$2:$A$20,0)),""))</f>
        <v/>
      </c>
      <c r="U43" s="24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1" t="n"/>
      <c r="I44" s="20" t="n"/>
      <c r="J44" s="20" t="n"/>
      <c r="K44" s="22" t="n"/>
      <c r="L44" s="20" t="n"/>
      <c r="M44" s="15">
        <f>IF(L44="","",IF(OR(L44="Voicemail",L44="No answer"),"High",IF(L44="Answering service","Medium","Low")))</f>
        <v/>
      </c>
      <c r="N44" s="20" t="n"/>
      <c r="O44" s="23" t="n"/>
      <c r="P44" s="20" t="n"/>
      <c r="Q44" s="23" t="n"/>
      <c r="R44" s="17">
        <f>IF(Q44="","",Q44-TODAY())</f>
        <v/>
      </c>
      <c r="S44" s="20" t="n"/>
      <c r="T44" s="18">
        <f>IF(OR(S44="",N44&lt;&gt;"Paying"),"",IFERROR(INDEX(Plans!$B$2:$B$20,MATCH(S44,Plans!$A$2:$A$20,0)),""))</f>
        <v/>
      </c>
      <c r="U44" s="24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1" t="n"/>
      <c r="I45" s="20" t="n"/>
      <c r="J45" s="20" t="n"/>
      <c r="K45" s="22" t="n"/>
      <c r="L45" s="20" t="n"/>
      <c r="M45" s="15">
        <f>IF(L45="","",IF(OR(L45="Voicemail",L45="No answer"),"High",IF(L45="Answering service","Medium","Low")))</f>
        <v/>
      </c>
      <c r="N45" s="20" t="n"/>
      <c r="O45" s="23" t="n"/>
      <c r="P45" s="20" t="n"/>
      <c r="Q45" s="23" t="n"/>
      <c r="R45" s="17">
        <f>IF(Q45="","",Q45-TODAY())</f>
        <v/>
      </c>
      <c r="S45" s="20" t="n"/>
      <c r="T45" s="18">
        <f>IF(OR(S45="",N45&lt;&gt;"Paying"),"",IFERROR(INDEX(Plans!$B$2:$B$20,MATCH(S45,Plans!$A$2:$A$20,0)),""))</f>
        <v/>
      </c>
      <c r="U45" s="24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1" t="n"/>
      <c r="I46" s="20" t="n"/>
      <c r="J46" s="20" t="n"/>
      <c r="K46" s="22" t="n"/>
      <c r="L46" s="20" t="n"/>
      <c r="M46" s="15">
        <f>IF(L46="","",IF(OR(L46="Voicemail",L46="No answer"),"High",IF(L46="Answering service","Medium","Low")))</f>
        <v/>
      </c>
      <c r="N46" s="20" t="n"/>
      <c r="O46" s="23" t="n"/>
      <c r="P46" s="20" t="n"/>
      <c r="Q46" s="23" t="n"/>
      <c r="R46" s="17">
        <f>IF(Q46="","",Q46-TODAY())</f>
        <v/>
      </c>
      <c r="S46" s="20" t="n"/>
      <c r="T46" s="18">
        <f>IF(OR(S46="",N46&lt;&gt;"Paying"),"",IFERROR(INDEX(Plans!$B$2:$B$20,MATCH(S46,Plans!$A$2:$A$20,0)),""))</f>
        <v/>
      </c>
      <c r="U46" s="24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1" t="n"/>
      <c r="I47" s="20" t="n"/>
      <c r="J47" s="20" t="n"/>
      <c r="K47" s="22" t="n"/>
      <c r="L47" s="20" t="n"/>
      <c r="M47" s="15">
        <f>IF(L47="","",IF(OR(L47="Voicemail",L47="No answer"),"High",IF(L47="Answering service","Medium","Low")))</f>
        <v/>
      </c>
      <c r="N47" s="20" t="n"/>
      <c r="O47" s="23" t="n"/>
      <c r="P47" s="20" t="n"/>
      <c r="Q47" s="23" t="n"/>
      <c r="R47" s="17">
        <f>IF(Q47="","",Q47-TODAY())</f>
        <v/>
      </c>
      <c r="S47" s="20" t="n"/>
      <c r="T47" s="18">
        <f>IF(OR(S47="",N47&lt;&gt;"Paying"),"",IFERROR(INDEX(Plans!$B$2:$B$20,MATCH(S47,Plans!$A$2:$A$20,0)),""))</f>
        <v/>
      </c>
      <c r="U47" s="24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1" t="n"/>
      <c r="I48" s="20" t="n"/>
      <c r="J48" s="20" t="n"/>
      <c r="K48" s="22" t="n"/>
      <c r="L48" s="20" t="n"/>
      <c r="M48" s="15">
        <f>IF(L48="","",IF(OR(L48="Voicemail",L48="No answer"),"High",IF(L48="Answering service","Medium","Low")))</f>
        <v/>
      </c>
      <c r="N48" s="20" t="n"/>
      <c r="O48" s="23" t="n"/>
      <c r="P48" s="20" t="n"/>
      <c r="Q48" s="23" t="n"/>
      <c r="R48" s="17">
        <f>IF(Q48="","",Q48-TODAY())</f>
        <v/>
      </c>
      <c r="S48" s="20" t="n"/>
      <c r="T48" s="18">
        <f>IF(OR(S48="",N48&lt;&gt;"Paying"),"",IFERROR(INDEX(Plans!$B$2:$B$20,MATCH(S48,Plans!$A$2:$A$20,0)),""))</f>
        <v/>
      </c>
      <c r="U48" s="24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1" t="n"/>
      <c r="I49" s="20" t="n"/>
      <c r="J49" s="20" t="n"/>
      <c r="K49" s="22" t="n"/>
      <c r="L49" s="20" t="n"/>
      <c r="M49" s="15">
        <f>IF(L49="","",IF(OR(L49="Voicemail",L49="No answer"),"High",IF(L49="Answering service","Medium","Low")))</f>
        <v/>
      </c>
      <c r="N49" s="20" t="n"/>
      <c r="O49" s="23" t="n"/>
      <c r="P49" s="20" t="n"/>
      <c r="Q49" s="23" t="n"/>
      <c r="R49" s="17">
        <f>IF(Q49="","",Q49-TODAY())</f>
        <v/>
      </c>
      <c r="S49" s="20" t="n"/>
      <c r="T49" s="18">
        <f>IF(OR(S49="",N49&lt;&gt;"Paying"),"",IFERROR(INDEX(Plans!$B$2:$B$20,MATCH(S49,Plans!$A$2:$A$20,0)),""))</f>
        <v/>
      </c>
      <c r="U49" s="24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1" t="n"/>
      <c r="I50" s="20" t="n"/>
      <c r="J50" s="20" t="n"/>
      <c r="K50" s="22" t="n"/>
      <c r="L50" s="20" t="n"/>
      <c r="M50" s="15">
        <f>IF(L50="","",IF(OR(L50="Voicemail",L50="No answer"),"High",IF(L50="Answering service","Medium","Low")))</f>
        <v/>
      </c>
      <c r="N50" s="20" t="n"/>
      <c r="O50" s="23" t="n"/>
      <c r="P50" s="20" t="n"/>
      <c r="Q50" s="23" t="n"/>
      <c r="R50" s="17">
        <f>IF(Q50="","",Q50-TODAY())</f>
        <v/>
      </c>
      <c r="S50" s="20" t="n"/>
      <c r="T50" s="18">
        <f>IF(OR(S50="",N50&lt;&gt;"Paying"),"",IFERROR(INDEX(Plans!$B$2:$B$20,MATCH(S50,Plans!$A$2:$A$20,0)),""))</f>
        <v/>
      </c>
      <c r="U50" s="24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1" t="n"/>
      <c r="I51" s="20" t="n"/>
      <c r="J51" s="20" t="n"/>
      <c r="K51" s="22" t="n"/>
      <c r="L51" s="20" t="n"/>
      <c r="M51" s="15">
        <f>IF(L51="","",IF(OR(L51="Voicemail",L51="No answer"),"High",IF(L51="Answering service","Medium","Low")))</f>
        <v/>
      </c>
      <c r="N51" s="20" t="n"/>
      <c r="O51" s="23" t="n"/>
      <c r="P51" s="20" t="n"/>
      <c r="Q51" s="23" t="n"/>
      <c r="R51" s="17">
        <f>IF(Q51="","",Q51-TODAY())</f>
        <v/>
      </c>
      <c r="S51" s="20" t="n"/>
      <c r="T51" s="18">
        <f>IF(OR(S51="",N51&lt;&gt;"Paying"),"",IFERROR(INDEX(Plans!$B$2:$B$20,MATCH(S51,Plans!$A$2:$A$20,0)),""))</f>
        <v/>
      </c>
      <c r="U51" s="24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1" t="n"/>
      <c r="I52" s="20" t="n"/>
      <c r="J52" s="20" t="n"/>
      <c r="K52" s="22" t="n"/>
      <c r="L52" s="20" t="n"/>
      <c r="M52" s="15">
        <f>IF(L52="","",IF(OR(L52="Voicemail",L52="No answer"),"High",IF(L52="Answering service","Medium","Low")))</f>
        <v/>
      </c>
      <c r="N52" s="20" t="n"/>
      <c r="O52" s="23" t="n"/>
      <c r="P52" s="20" t="n"/>
      <c r="Q52" s="23" t="n"/>
      <c r="R52" s="17">
        <f>IF(Q52="","",Q52-TODAY())</f>
        <v/>
      </c>
      <c r="S52" s="20" t="n"/>
      <c r="T52" s="18">
        <f>IF(OR(S52="",N52&lt;&gt;"Paying"),"",IFERROR(INDEX(Plans!$B$2:$B$20,MATCH(S52,Plans!$A$2:$A$20,0)),""))</f>
        <v/>
      </c>
      <c r="U52" s="24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1" t="n"/>
      <c r="I53" s="20" t="n"/>
      <c r="J53" s="20" t="n"/>
      <c r="K53" s="22" t="n"/>
      <c r="L53" s="20" t="n"/>
      <c r="M53" s="15">
        <f>IF(L53="","",IF(OR(L53="Voicemail",L53="No answer"),"High",IF(L53="Answering service","Medium","Low")))</f>
        <v/>
      </c>
      <c r="N53" s="20" t="n"/>
      <c r="O53" s="23" t="n"/>
      <c r="P53" s="20" t="n"/>
      <c r="Q53" s="23" t="n"/>
      <c r="R53" s="17">
        <f>IF(Q53="","",Q53-TODAY())</f>
        <v/>
      </c>
      <c r="S53" s="20" t="n"/>
      <c r="T53" s="18">
        <f>IF(OR(S53="",N53&lt;&gt;"Paying"),"",IFERROR(INDEX(Plans!$B$2:$B$20,MATCH(S53,Plans!$A$2:$A$20,0)),""))</f>
        <v/>
      </c>
      <c r="U53" s="24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1" t="n"/>
      <c r="I54" s="20" t="n"/>
      <c r="J54" s="20" t="n"/>
      <c r="K54" s="22" t="n"/>
      <c r="L54" s="20" t="n"/>
      <c r="M54" s="15">
        <f>IF(L54="","",IF(OR(L54="Voicemail",L54="No answer"),"High",IF(L54="Answering service","Medium","Low")))</f>
        <v/>
      </c>
      <c r="N54" s="20" t="n"/>
      <c r="O54" s="23" t="n"/>
      <c r="P54" s="20" t="n"/>
      <c r="Q54" s="23" t="n"/>
      <c r="R54" s="17">
        <f>IF(Q54="","",Q54-TODAY())</f>
        <v/>
      </c>
      <c r="S54" s="20" t="n"/>
      <c r="T54" s="18">
        <f>IF(OR(S54="",N54&lt;&gt;"Paying"),"",IFERROR(INDEX(Plans!$B$2:$B$20,MATCH(S54,Plans!$A$2:$A$20,0)),""))</f>
        <v/>
      </c>
      <c r="U54" s="24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1" t="n"/>
      <c r="I55" s="20" t="n"/>
      <c r="J55" s="20" t="n"/>
      <c r="K55" s="22" t="n"/>
      <c r="L55" s="20" t="n"/>
      <c r="M55" s="15">
        <f>IF(L55="","",IF(OR(L55="Voicemail",L55="No answer"),"High",IF(L55="Answering service","Medium","Low")))</f>
        <v/>
      </c>
      <c r="N55" s="20" t="n"/>
      <c r="O55" s="23" t="n"/>
      <c r="P55" s="20" t="n"/>
      <c r="Q55" s="23" t="n"/>
      <c r="R55" s="17">
        <f>IF(Q55="","",Q55-TODAY())</f>
        <v/>
      </c>
      <c r="S55" s="20" t="n"/>
      <c r="T55" s="18">
        <f>IF(OR(S55="",N55&lt;&gt;"Paying"),"",IFERROR(INDEX(Plans!$B$2:$B$20,MATCH(S55,Plans!$A$2:$A$20,0)),""))</f>
        <v/>
      </c>
      <c r="U55" s="24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1" t="n"/>
      <c r="I56" s="20" t="n"/>
      <c r="J56" s="20" t="n"/>
      <c r="K56" s="22" t="n"/>
      <c r="L56" s="20" t="n"/>
      <c r="M56" s="15">
        <f>IF(L56="","",IF(OR(L56="Voicemail",L56="No answer"),"High",IF(L56="Answering service","Medium","Low")))</f>
        <v/>
      </c>
      <c r="N56" s="20" t="n"/>
      <c r="O56" s="23" t="n"/>
      <c r="P56" s="20" t="n"/>
      <c r="Q56" s="23" t="n"/>
      <c r="R56" s="17">
        <f>IF(Q56="","",Q56-TODAY())</f>
        <v/>
      </c>
      <c r="S56" s="20" t="n"/>
      <c r="T56" s="18">
        <f>IF(OR(S56="",N56&lt;&gt;"Paying"),"",IFERROR(INDEX(Plans!$B$2:$B$20,MATCH(S56,Plans!$A$2:$A$20,0)),""))</f>
        <v/>
      </c>
      <c r="U56" s="24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1" t="n"/>
      <c r="I57" s="20" t="n"/>
      <c r="J57" s="20" t="n"/>
      <c r="K57" s="22" t="n"/>
      <c r="L57" s="20" t="n"/>
      <c r="M57" s="15">
        <f>IF(L57="","",IF(OR(L57="Voicemail",L57="No answer"),"High",IF(L57="Answering service","Medium","Low")))</f>
        <v/>
      </c>
      <c r="N57" s="20" t="n"/>
      <c r="O57" s="23" t="n"/>
      <c r="P57" s="20" t="n"/>
      <c r="Q57" s="23" t="n"/>
      <c r="R57" s="17">
        <f>IF(Q57="","",Q57-TODAY())</f>
        <v/>
      </c>
      <c r="S57" s="20" t="n"/>
      <c r="T57" s="18">
        <f>IF(OR(S57="",N57&lt;&gt;"Paying"),"",IFERROR(INDEX(Plans!$B$2:$B$20,MATCH(S57,Plans!$A$2:$A$20,0)),""))</f>
        <v/>
      </c>
      <c r="U57" s="24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1" t="n"/>
      <c r="I58" s="20" t="n"/>
      <c r="J58" s="20" t="n"/>
      <c r="K58" s="22" t="n"/>
      <c r="L58" s="20" t="n"/>
      <c r="M58" s="15">
        <f>IF(L58="","",IF(OR(L58="Voicemail",L58="No answer"),"High",IF(L58="Answering service","Medium","Low")))</f>
        <v/>
      </c>
      <c r="N58" s="20" t="n"/>
      <c r="O58" s="23" t="n"/>
      <c r="P58" s="20" t="n"/>
      <c r="Q58" s="23" t="n"/>
      <c r="R58" s="17">
        <f>IF(Q58="","",Q58-TODAY())</f>
        <v/>
      </c>
      <c r="S58" s="20" t="n"/>
      <c r="T58" s="18">
        <f>IF(OR(S58="",N58&lt;&gt;"Paying"),"",IFERROR(INDEX(Plans!$B$2:$B$20,MATCH(S58,Plans!$A$2:$A$20,0)),""))</f>
        <v/>
      </c>
      <c r="U58" s="24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1" t="n"/>
      <c r="I59" s="20" t="n"/>
      <c r="J59" s="20" t="n"/>
      <c r="K59" s="22" t="n"/>
      <c r="L59" s="20" t="n"/>
      <c r="M59" s="15">
        <f>IF(L59="","",IF(OR(L59="Voicemail",L59="No answer"),"High",IF(L59="Answering service","Medium","Low")))</f>
        <v/>
      </c>
      <c r="N59" s="20" t="n"/>
      <c r="O59" s="23" t="n"/>
      <c r="P59" s="20" t="n"/>
      <c r="Q59" s="23" t="n"/>
      <c r="R59" s="17">
        <f>IF(Q59="","",Q59-TODAY())</f>
        <v/>
      </c>
      <c r="S59" s="20" t="n"/>
      <c r="T59" s="18">
        <f>IF(OR(S59="",N59&lt;&gt;"Paying"),"",IFERROR(INDEX(Plans!$B$2:$B$20,MATCH(S59,Plans!$A$2:$A$20,0)),""))</f>
        <v/>
      </c>
      <c r="U59" s="24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1" t="n"/>
      <c r="I60" s="20" t="n"/>
      <c r="J60" s="20" t="n"/>
      <c r="K60" s="22" t="n"/>
      <c r="L60" s="20" t="n"/>
      <c r="M60" s="15">
        <f>IF(L60="","",IF(OR(L60="Voicemail",L60="No answer"),"High",IF(L60="Answering service","Medium","Low")))</f>
        <v/>
      </c>
      <c r="N60" s="20" t="n"/>
      <c r="O60" s="23" t="n"/>
      <c r="P60" s="20" t="n"/>
      <c r="Q60" s="23" t="n"/>
      <c r="R60" s="17">
        <f>IF(Q60="","",Q60-TODAY())</f>
        <v/>
      </c>
      <c r="S60" s="20" t="n"/>
      <c r="T60" s="18">
        <f>IF(OR(S60="",N60&lt;&gt;"Paying"),"",IFERROR(INDEX(Plans!$B$2:$B$20,MATCH(S60,Plans!$A$2:$A$20,0)),""))</f>
        <v/>
      </c>
      <c r="U60" s="24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1" t="n"/>
      <c r="I61" s="20" t="n"/>
      <c r="J61" s="20" t="n"/>
      <c r="K61" s="22" t="n"/>
      <c r="L61" s="20" t="n"/>
      <c r="M61" s="15">
        <f>IF(L61="","",IF(OR(L61="Voicemail",L61="No answer"),"High",IF(L61="Answering service","Medium","Low")))</f>
        <v/>
      </c>
      <c r="N61" s="20" t="n"/>
      <c r="O61" s="23" t="n"/>
      <c r="P61" s="20" t="n"/>
      <c r="Q61" s="23" t="n"/>
      <c r="R61" s="17">
        <f>IF(Q61="","",Q61-TODAY())</f>
        <v/>
      </c>
      <c r="S61" s="20" t="n"/>
      <c r="T61" s="18">
        <f>IF(OR(S61="",N61&lt;&gt;"Paying"),"",IFERROR(INDEX(Plans!$B$2:$B$20,MATCH(S61,Plans!$A$2:$A$20,0)),""))</f>
        <v/>
      </c>
      <c r="U61" s="24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1" t="n"/>
      <c r="I62" s="20" t="n"/>
      <c r="J62" s="20" t="n"/>
      <c r="K62" s="22" t="n"/>
      <c r="L62" s="20" t="n"/>
      <c r="M62" s="15">
        <f>IF(L62="","",IF(OR(L62="Voicemail",L62="No answer"),"High",IF(L62="Answering service","Medium","Low")))</f>
        <v/>
      </c>
      <c r="N62" s="20" t="n"/>
      <c r="O62" s="23" t="n"/>
      <c r="P62" s="20" t="n"/>
      <c r="Q62" s="23" t="n"/>
      <c r="R62" s="17">
        <f>IF(Q62="","",Q62-TODAY())</f>
        <v/>
      </c>
      <c r="S62" s="20" t="n"/>
      <c r="T62" s="18">
        <f>IF(OR(S62="",N62&lt;&gt;"Paying"),"",IFERROR(INDEX(Plans!$B$2:$B$20,MATCH(S62,Plans!$A$2:$A$20,0)),""))</f>
        <v/>
      </c>
      <c r="U62" s="24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1" t="n"/>
      <c r="I63" s="20" t="n"/>
      <c r="J63" s="20" t="n"/>
      <c r="K63" s="22" t="n"/>
      <c r="L63" s="20" t="n"/>
      <c r="M63" s="15">
        <f>IF(L63="","",IF(OR(L63="Voicemail",L63="No answer"),"High",IF(L63="Answering service","Medium","Low")))</f>
        <v/>
      </c>
      <c r="N63" s="20" t="n"/>
      <c r="O63" s="23" t="n"/>
      <c r="P63" s="20" t="n"/>
      <c r="Q63" s="23" t="n"/>
      <c r="R63" s="17">
        <f>IF(Q63="","",Q63-TODAY())</f>
        <v/>
      </c>
      <c r="S63" s="20" t="n"/>
      <c r="T63" s="18">
        <f>IF(OR(S63="",N63&lt;&gt;"Paying"),"",IFERROR(INDEX(Plans!$B$2:$B$20,MATCH(S63,Plans!$A$2:$A$20,0)),""))</f>
        <v/>
      </c>
      <c r="U63" s="24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1" t="n"/>
      <c r="I64" s="20" t="n"/>
      <c r="J64" s="20" t="n"/>
      <c r="K64" s="22" t="n"/>
      <c r="L64" s="20" t="n"/>
      <c r="M64" s="15">
        <f>IF(L64="","",IF(OR(L64="Voicemail",L64="No answer"),"High",IF(L64="Answering service","Medium","Low")))</f>
        <v/>
      </c>
      <c r="N64" s="20" t="n"/>
      <c r="O64" s="23" t="n"/>
      <c r="P64" s="20" t="n"/>
      <c r="Q64" s="23" t="n"/>
      <c r="R64" s="17">
        <f>IF(Q64="","",Q64-TODAY())</f>
        <v/>
      </c>
      <c r="S64" s="20" t="n"/>
      <c r="T64" s="18">
        <f>IF(OR(S64="",N64&lt;&gt;"Paying"),"",IFERROR(INDEX(Plans!$B$2:$B$20,MATCH(S64,Plans!$A$2:$A$20,0)),""))</f>
        <v/>
      </c>
      <c r="U64" s="24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1" t="n"/>
      <c r="I65" s="20" t="n"/>
      <c r="J65" s="20" t="n"/>
      <c r="K65" s="22" t="n"/>
      <c r="L65" s="20" t="n"/>
      <c r="M65" s="15">
        <f>IF(L65="","",IF(OR(L65="Voicemail",L65="No answer"),"High",IF(L65="Answering service","Medium","Low")))</f>
        <v/>
      </c>
      <c r="N65" s="20" t="n"/>
      <c r="O65" s="23" t="n"/>
      <c r="P65" s="20" t="n"/>
      <c r="Q65" s="23" t="n"/>
      <c r="R65" s="17">
        <f>IF(Q65="","",Q65-TODAY())</f>
        <v/>
      </c>
      <c r="S65" s="20" t="n"/>
      <c r="T65" s="18">
        <f>IF(OR(S65="",N65&lt;&gt;"Paying"),"",IFERROR(INDEX(Plans!$B$2:$B$20,MATCH(S65,Plans!$A$2:$A$20,0)),""))</f>
        <v/>
      </c>
      <c r="U65" s="24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1" t="n"/>
      <c r="I66" s="20" t="n"/>
      <c r="J66" s="20" t="n"/>
      <c r="K66" s="22" t="n"/>
      <c r="L66" s="20" t="n"/>
      <c r="M66" s="15">
        <f>IF(L66="","",IF(OR(L66="Voicemail",L66="No answer"),"High",IF(L66="Answering service","Medium","Low")))</f>
        <v/>
      </c>
      <c r="N66" s="20" t="n"/>
      <c r="O66" s="23" t="n"/>
      <c r="P66" s="20" t="n"/>
      <c r="Q66" s="23" t="n"/>
      <c r="R66" s="17">
        <f>IF(Q66="","",Q66-TODAY())</f>
        <v/>
      </c>
      <c r="S66" s="20" t="n"/>
      <c r="T66" s="18">
        <f>IF(OR(S66="",N66&lt;&gt;"Paying"),"",IFERROR(INDEX(Plans!$B$2:$B$20,MATCH(S66,Plans!$A$2:$A$20,0)),""))</f>
        <v/>
      </c>
      <c r="U66" s="24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1" t="n"/>
      <c r="I67" s="20" t="n"/>
      <c r="J67" s="20" t="n"/>
      <c r="K67" s="22" t="n"/>
      <c r="L67" s="20" t="n"/>
      <c r="M67" s="15">
        <f>IF(L67="","",IF(OR(L67="Voicemail",L67="No answer"),"High",IF(L67="Answering service","Medium","Low")))</f>
        <v/>
      </c>
      <c r="N67" s="20" t="n"/>
      <c r="O67" s="23" t="n"/>
      <c r="P67" s="20" t="n"/>
      <c r="Q67" s="23" t="n"/>
      <c r="R67" s="17">
        <f>IF(Q67="","",Q67-TODAY())</f>
        <v/>
      </c>
      <c r="S67" s="20" t="n"/>
      <c r="T67" s="18">
        <f>IF(OR(S67="",N67&lt;&gt;"Paying"),"",IFERROR(INDEX(Plans!$B$2:$B$20,MATCH(S67,Plans!$A$2:$A$20,0)),""))</f>
        <v/>
      </c>
      <c r="U67" s="24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1" t="n"/>
      <c r="I68" s="20" t="n"/>
      <c r="J68" s="20" t="n"/>
      <c r="K68" s="22" t="n"/>
      <c r="L68" s="20" t="n"/>
      <c r="M68" s="15">
        <f>IF(L68="","",IF(OR(L68="Voicemail",L68="No answer"),"High",IF(L68="Answering service","Medium","Low")))</f>
        <v/>
      </c>
      <c r="N68" s="20" t="n"/>
      <c r="O68" s="23" t="n"/>
      <c r="P68" s="20" t="n"/>
      <c r="Q68" s="23" t="n"/>
      <c r="R68" s="17">
        <f>IF(Q68="","",Q68-TODAY())</f>
        <v/>
      </c>
      <c r="S68" s="20" t="n"/>
      <c r="T68" s="18">
        <f>IF(OR(S68="",N68&lt;&gt;"Paying"),"",IFERROR(INDEX(Plans!$B$2:$B$20,MATCH(S68,Plans!$A$2:$A$20,0)),""))</f>
        <v/>
      </c>
      <c r="U68" s="24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1" t="n"/>
      <c r="I69" s="20" t="n"/>
      <c r="J69" s="20" t="n"/>
      <c r="K69" s="22" t="n"/>
      <c r="L69" s="20" t="n"/>
      <c r="M69" s="15">
        <f>IF(L69="","",IF(OR(L69="Voicemail",L69="No answer"),"High",IF(L69="Answering service","Medium","Low")))</f>
        <v/>
      </c>
      <c r="N69" s="20" t="n"/>
      <c r="O69" s="23" t="n"/>
      <c r="P69" s="20" t="n"/>
      <c r="Q69" s="23" t="n"/>
      <c r="R69" s="17">
        <f>IF(Q69="","",Q69-TODAY())</f>
        <v/>
      </c>
      <c r="S69" s="20" t="n"/>
      <c r="T69" s="18">
        <f>IF(OR(S69="",N69&lt;&gt;"Paying"),"",IFERROR(INDEX(Plans!$B$2:$B$20,MATCH(S69,Plans!$A$2:$A$20,0)),""))</f>
        <v/>
      </c>
      <c r="U69" s="24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1" t="n"/>
      <c r="I70" s="20" t="n"/>
      <c r="J70" s="20" t="n"/>
      <c r="K70" s="22" t="n"/>
      <c r="L70" s="20" t="n"/>
      <c r="M70" s="15">
        <f>IF(L70="","",IF(OR(L70="Voicemail",L70="No answer"),"High",IF(L70="Answering service","Medium","Low")))</f>
        <v/>
      </c>
      <c r="N70" s="20" t="n"/>
      <c r="O70" s="23" t="n"/>
      <c r="P70" s="20" t="n"/>
      <c r="Q70" s="23" t="n"/>
      <c r="R70" s="17">
        <f>IF(Q70="","",Q70-TODAY())</f>
        <v/>
      </c>
      <c r="S70" s="20" t="n"/>
      <c r="T70" s="18">
        <f>IF(OR(S70="",N70&lt;&gt;"Paying"),"",IFERROR(INDEX(Plans!$B$2:$B$20,MATCH(S70,Plans!$A$2:$A$20,0)),""))</f>
        <v/>
      </c>
      <c r="U70" s="24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1" t="n"/>
      <c r="I71" s="20" t="n"/>
      <c r="J71" s="20" t="n"/>
      <c r="K71" s="22" t="n"/>
      <c r="L71" s="20" t="n"/>
      <c r="M71" s="15">
        <f>IF(L71="","",IF(OR(L71="Voicemail",L71="No answer"),"High",IF(L71="Answering service","Medium","Low")))</f>
        <v/>
      </c>
      <c r="N71" s="20" t="n"/>
      <c r="O71" s="23" t="n"/>
      <c r="P71" s="20" t="n"/>
      <c r="Q71" s="23" t="n"/>
      <c r="R71" s="17">
        <f>IF(Q71="","",Q71-TODAY())</f>
        <v/>
      </c>
      <c r="S71" s="20" t="n"/>
      <c r="T71" s="18">
        <f>IF(OR(S71="",N71&lt;&gt;"Paying"),"",IFERROR(INDEX(Plans!$B$2:$B$20,MATCH(S71,Plans!$A$2:$A$20,0)),""))</f>
        <v/>
      </c>
      <c r="U71" s="24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1" t="n"/>
      <c r="I72" s="20" t="n"/>
      <c r="J72" s="20" t="n"/>
      <c r="K72" s="22" t="n"/>
      <c r="L72" s="20" t="n"/>
      <c r="M72" s="15">
        <f>IF(L72="","",IF(OR(L72="Voicemail",L72="No answer"),"High",IF(L72="Answering service","Medium","Low")))</f>
        <v/>
      </c>
      <c r="N72" s="20" t="n"/>
      <c r="O72" s="23" t="n"/>
      <c r="P72" s="20" t="n"/>
      <c r="Q72" s="23" t="n"/>
      <c r="R72" s="17">
        <f>IF(Q72="","",Q72-TODAY())</f>
        <v/>
      </c>
      <c r="S72" s="20" t="n"/>
      <c r="T72" s="18">
        <f>IF(OR(S72="",N72&lt;&gt;"Paying"),"",IFERROR(INDEX(Plans!$B$2:$B$20,MATCH(S72,Plans!$A$2:$A$20,0)),""))</f>
        <v/>
      </c>
      <c r="U72" s="24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1" t="n"/>
      <c r="I73" s="20" t="n"/>
      <c r="J73" s="20" t="n"/>
      <c r="K73" s="22" t="n"/>
      <c r="L73" s="20" t="n"/>
      <c r="M73" s="15">
        <f>IF(L73="","",IF(OR(L73="Voicemail",L73="No answer"),"High",IF(L73="Answering service","Medium","Low")))</f>
        <v/>
      </c>
      <c r="N73" s="20" t="n"/>
      <c r="O73" s="23" t="n"/>
      <c r="P73" s="20" t="n"/>
      <c r="Q73" s="23" t="n"/>
      <c r="R73" s="17">
        <f>IF(Q73="","",Q73-TODAY())</f>
        <v/>
      </c>
      <c r="S73" s="20" t="n"/>
      <c r="T73" s="18">
        <f>IF(OR(S73="",N73&lt;&gt;"Paying"),"",IFERROR(INDEX(Plans!$B$2:$B$20,MATCH(S73,Plans!$A$2:$A$20,0)),""))</f>
        <v/>
      </c>
      <c r="U73" s="24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1" t="n"/>
      <c r="I74" s="20" t="n"/>
      <c r="J74" s="20" t="n"/>
      <c r="K74" s="22" t="n"/>
      <c r="L74" s="20" t="n"/>
      <c r="M74" s="15">
        <f>IF(L74="","",IF(OR(L74="Voicemail",L74="No answer"),"High",IF(L74="Answering service","Medium","Low")))</f>
        <v/>
      </c>
      <c r="N74" s="20" t="n"/>
      <c r="O74" s="23" t="n"/>
      <c r="P74" s="20" t="n"/>
      <c r="Q74" s="23" t="n"/>
      <c r="R74" s="17">
        <f>IF(Q74="","",Q74-TODAY())</f>
        <v/>
      </c>
      <c r="S74" s="20" t="n"/>
      <c r="T74" s="18">
        <f>IF(OR(S74="",N74&lt;&gt;"Paying"),"",IFERROR(INDEX(Plans!$B$2:$B$20,MATCH(S74,Plans!$A$2:$A$20,0)),""))</f>
        <v/>
      </c>
      <c r="U74" s="24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1" t="n"/>
      <c r="I75" s="20" t="n"/>
      <c r="J75" s="20" t="n"/>
      <c r="K75" s="22" t="n"/>
      <c r="L75" s="20" t="n"/>
      <c r="M75" s="15">
        <f>IF(L75="","",IF(OR(L75="Voicemail",L75="No answer"),"High",IF(L75="Answering service","Medium","Low")))</f>
        <v/>
      </c>
      <c r="N75" s="20" t="n"/>
      <c r="O75" s="23" t="n"/>
      <c r="P75" s="20" t="n"/>
      <c r="Q75" s="23" t="n"/>
      <c r="R75" s="17">
        <f>IF(Q75="","",Q75-TODAY())</f>
        <v/>
      </c>
      <c r="S75" s="20" t="n"/>
      <c r="T75" s="18">
        <f>IF(OR(S75="",N75&lt;&gt;"Paying"),"",IFERROR(INDEX(Plans!$B$2:$B$20,MATCH(S75,Plans!$A$2:$A$20,0)),""))</f>
        <v/>
      </c>
      <c r="U75" s="24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1" t="n"/>
      <c r="I76" s="20" t="n"/>
      <c r="J76" s="20" t="n"/>
      <c r="K76" s="22" t="n"/>
      <c r="L76" s="20" t="n"/>
      <c r="M76" s="15">
        <f>IF(L76="","",IF(OR(L76="Voicemail",L76="No answer"),"High",IF(L76="Answering service","Medium","Low")))</f>
        <v/>
      </c>
      <c r="N76" s="20" t="n"/>
      <c r="O76" s="23" t="n"/>
      <c r="P76" s="20" t="n"/>
      <c r="Q76" s="23" t="n"/>
      <c r="R76" s="17">
        <f>IF(Q76="","",Q76-TODAY())</f>
        <v/>
      </c>
      <c r="S76" s="20" t="n"/>
      <c r="T76" s="18">
        <f>IF(OR(S76="",N76&lt;&gt;"Paying"),"",IFERROR(INDEX(Plans!$B$2:$B$20,MATCH(S76,Plans!$A$2:$A$20,0)),""))</f>
        <v/>
      </c>
      <c r="U76" s="24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1" t="n"/>
      <c r="I77" s="20" t="n"/>
      <c r="J77" s="20" t="n"/>
      <c r="K77" s="22" t="n"/>
      <c r="L77" s="20" t="n"/>
      <c r="M77" s="15">
        <f>IF(L77="","",IF(OR(L77="Voicemail",L77="No answer"),"High",IF(L77="Answering service","Medium","Low")))</f>
        <v/>
      </c>
      <c r="N77" s="20" t="n"/>
      <c r="O77" s="23" t="n"/>
      <c r="P77" s="20" t="n"/>
      <c r="Q77" s="23" t="n"/>
      <c r="R77" s="17">
        <f>IF(Q77="","",Q77-TODAY())</f>
        <v/>
      </c>
      <c r="S77" s="20" t="n"/>
      <c r="T77" s="18">
        <f>IF(OR(S77="",N77&lt;&gt;"Paying"),"",IFERROR(INDEX(Plans!$B$2:$B$20,MATCH(S77,Plans!$A$2:$A$20,0)),""))</f>
        <v/>
      </c>
      <c r="U77" s="24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1" t="n"/>
      <c r="I78" s="20" t="n"/>
      <c r="J78" s="20" t="n"/>
      <c r="K78" s="22" t="n"/>
      <c r="L78" s="20" t="n"/>
      <c r="M78" s="15">
        <f>IF(L78="","",IF(OR(L78="Voicemail",L78="No answer"),"High",IF(L78="Answering service","Medium","Low")))</f>
        <v/>
      </c>
      <c r="N78" s="20" t="n"/>
      <c r="O78" s="23" t="n"/>
      <c r="P78" s="20" t="n"/>
      <c r="Q78" s="23" t="n"/>
      <c r="R78" s="17">
        <f>IF(Q78="","",Q78-TODAY())</f>
        <v/>
      </c>
      <c r="S78" s="20" t="n"/>
      <c r="T78" s="18">
        <f>IF(OR(S78="",N78&lt;&gt;"Paying"),"",IFERROR(INDEX(Plans!$B$2:$B$20,MATCH(S78,Plans!$A$2:$A$20,0)),""))</f>
        <v/>
      </c>
      <c r="U78" s="24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1" t="n"/>
      <c r="I79" s="20" t="n"/>
      <c r="J79" s="20" t="n"/>
      <c r="K79" s="22" t="n"/>
      <c r="L79" s="20" t="n"/>
      <c r="M79" s="15">
        <f>IF(L79="","",IF(OR(L79="Voicemail",L79="No answer"),"High",IF(L79="Answering service","Medium","Low")))</f>
        <v/>
      </c>
      <c r="N79" s="20" t="n"/>
      <c r="O79" s="23" t="n"/>
      <c r="P79" s="20" t="n"/>
      <c r="Q79" s="23" t="n"/>
      <c r="R79" s="17">
        <f>IF(Q79="","",Q79-TODAY())</f>
        <v/>
      </c>
      <c r="S79" s="20" t="n"/>
      <c r="T79" s="18">
        <f>IF(OR(S79="",N79&lt;&gt;"Paying"),"",IFERROR(INDEX(Plans!$B$2:$B$20,MATCH(S79,Plans!$A$2:$A$20,0)),""))</f>
        <v/>
      </c>
      <c r="U79" s="24" t="n"/>
    </row>
    <row r="80">
      <c r="A80" s="20" t="n"/>
      <c r="B80" s="20" t="n"/>
      <c r="C80" s="20" t="n"/>
      <c r="D80" s="20" t="n"/>
      <c r="E80" s="20" t="n"/>
      <c r="F80" s="20" t="n"/>
      <c r="G80" s="20" t="n"/>
      <c r="H80" s="21" t="n"/>
      <c r="I80" s="20" t="n"/>
      <c r="J80" s="20" t="n"/>
      <c r="K80" s="22" t="n"/>
      <c r="L80" s="20" t="n"/>
      <c r="M80" s="15">
        <f>IF(L80="","",IF(OR(L80="Voicemail",L80="No answer"),"High",IF(L80="Answering service","Medium","Low")))</f>
        <v/>
      </c>
      <c r="N80" s="20" t="n"/>
      <c r="O80" s="23" t="n"/>
      <c r="P80" s="20" t="n"/>
      <c r="Q80" s="23" t="n"/>
      <c r="R80" s="17">
        <f>IF(Q80="","",Q80-TODAY())</f>
        <v/>
      </c>
      <c r="S80" s="20" t="n"/>
      <c r="T80" s="18">
        <f>IF(OR(S80="",N80&lt;&gt;"Paying"),"",IFERROR(INDEX(Plans!$B$2:$B$20,MATCH(S80,Plans!$A$2:$A$20,0)),""))</f>
        <v/>
      </c>
      <c r="U80" s="24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1" t="n"/>
      <c r="I81" s="20" t="n"/>
      <c r="J81" s="20" t="n"/>
      <c r="K81" s="22" t="n"/>
      <c r="L81" s="20" t="n"/>
      <c r="M81" s="15">
        <f>IF(L81="","",IF(OR(L81="Voicemail",L81="No answer"),"High",IF(L81="Answering service","Medium","Low")))</f>
        <v/>
      </c>
      <c r="N81" s="20" t="n"/>
      <c r="O81" s="23" t="n"/>
      <c r="P81" s="20" t="n"/>
      <c r="Q81" s="23" t="n"/>
      <c r="R81" s="17">
        <f>IF(Q81="","",Q81-TODAY())</f>
        <v/>
      </c>
      <c r="S81" s="20" t="n"/>
      <c r="T81" s="18">
        <f>IF(OR(S81="",N81&lt;&gt;"Paying"),"",IFERROR(INDEX(Plans!$B$2:$B$20,MATCH(S81,Plans!$A$2:$A$20,0)),""))</f>
        <v/>
      </c>
      <c r="U81" s="24" t="n"/>
    </row>
    <row r="82">
      <c r="A82" s="20" t="n"/>
      <c r="B82" s="20" t="n"/>
      <c r="C82" s="20" t="n"/>
      <c r="D82" s="20" t="n"/>
      <c r="E82" s="20" t="n"/>
      <c r="F82" s="20" t="n"/>
      <c r="G82" s="20" t="n"/>
      <c r="H82" s="21" t="n"/>
      <c r="I82" s="20" t="n"/>
      <c r="J82" s="20" t="n"/>
      <c r="K82" s="22" t="n"/>
      <c r="L82" s="20" t="n"/>
      <c r="M82" s="15">
        <f>IF(L82="","",IF(OR(L82="Voicemail",L82="No answer"),"High",IF(L82="Answering service","Medium","Low")))</f>
        <v/>
      </c>
      <c r="N82" s="20" t="n"/>
      <c r="O82" s="23" t="n"/>
      <c r="P82" s="20" t="n"/>
      <c r="Q82" s="23" t="n"/>
      <c r="R82" s="17">
        <f>IF(Q82="","",Q82-TODAY())</f>
        <v/>
      </c>
      <c r="S82" s="20" t="n"/>
      <c r="T82" s="18">
        <f>IF(OR(S82="",N82&lt;&gt;"Paying"),"",IFERROR(INDEX(Plans!$B$2:$B$20,MATCH(S82,Plans!$A$2:$A$20,0)),""))</f>
        <v/>
      </c>
      <c r="U82" s="24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1" t="n"/>
      <c r="I83" s="20" t="n"/>
      <c r="J83" s="20" t="n"/>
      <c r="K83" s="22" t="n"/>
      <c r="L83" s="20" t="n"/>
      <c r="M83" s="15">
        <f>IF(L83="","",IF(OR(L83="Voicemail",L83="No answer"),"High",IF(L83="Answering service","Medium","Low")))</f>
        <v/>
      </c>
      <c r="N83" s="20" t="n"/>
      <c r="O83" s="23" t="n"/>
      <c r="P83" s="20" t="n"/>
      <c r="Q83" s="23" t="n"/>
      <c r="R83" s="17">
        <f>IF(Q83="","",Q83-TODAY())</f>
        <v/>
      </c>
      <c r="S83" s="20" t="n"/>
      <c r="T83" s="18">
        <f>IF(OR(S83="",N83&lt;&gt;"Paying"),"",IFERROR(INDEX(Plans!$B$2:$B$20,MATCH(S83,Plans!$A$2:$A$20,0)),""))</f>
        <v/>
      </c>
      <c r="U83" s="24" t="n"/>
    </row>
    <row r="84">
      <c r="A84" s="20" t="n"/>
      <c r="B84" s="20" t="n"/>
      <c r="C84" s="20" t="n"/>
      <c r="D84" s="20" t="n"/>
      <c r="E84" s="20" t="n"/>
      <c r="F84" s="20" t="n"/>
      <c r="G84" s="20" t="n"/>
      <c r="H84" s="21" t="n"/>
      <c r="I84" s="20" t="n"/>
      <c r="J84" s="20" t="n"/>
      <c r="K84" s="22" t="n"/>
      <c r="L84" s="20" t="n"/>
      <c r="M84" s="15">
        <f>IF(L84="","",IF(OR(L84="Voicemail",L84="No answer"),"High",IF(L84="Answering service","Medium","Low")))</f>
        <v/>
      </c>
      <c r="N84" s="20" t="n"/>
      <c r="O84" s="23" t="n"/>
      <c r="P84" s="20" t="n"/>
      <c r="Q84" s="23" t="n"/>
      <c r="R84" s="17">
        <f>IF(Q84="","",Q84-TODAY())</f>
        <v/>
      </c>
      <c r="S84" s="20" t="n"/>
      <c r="T84" s="18">
        <f>IF(OR(S84="",N84&lt;&gt;"Paying"),"",IFERROR(INDEX(Plans!$B$2:$B$20,MATCH(S84,Plans!$A$2:$A$20,0)),""))</f>
        <v/>
      </c>
      <c r="U84" s="24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1" t="n"/>
      <c r="I85" s="20" t="n"/>
      <c r="J85" s="20" t="n"/>
      <c r="K85" s="22" t="n"/>
      <c r="L85" s="20" t="n"/>
      <c r="M85" s="15">
        <f>IF(L85="","",IF(OR(L85="Voicemail",L85="No answer"),"High",IF(L85="Answering service","Medium","Low")))</f>
        <v/>
      </c>
      <c r="N85" s="20" t="n"/>
      <c r="O85" s="23" t="n"/>
      <c r="P85" s="20" t="n"/>
      <c r="Q85" s="23" t="n"/>
      <c r="R85" s="17">
        <f>IF(Q85="","",Q85-TODAY())</f>
        <v/>
      </c>
      <c r="S85" s="20" t="n"/>
      <c r="T85" s="18">
        <f>IF(OR(S85="",N85&lt;&gt;"Paying"),"",IFERROR(INDEX(Plans!$B$2:$B$20,MATCH(S85,Plans!$A$2:$A$20,0)),""))</f>
        <v/>
      </c>
      <c r="U85" s="24" t="n"/>
    </row>
    <row r="86">
      <c r="A86" s="20" t="n"/>
      <c r="B86" s="20" t="n"/>
      <c r="C86" s="20" t="n"/>
      <c r="D86" s="20" t="n"/>
      <c r="E86" s="20" t="n"/>
      <c r="F86" s="20" t="n"/>
      <c r="G86" s="20" t="n"/>
      <c r="H86" s="21" t="n"/>
      <c r="I86" s="20" t="n"/>
      <c r="J86" s="20" t="n"/>
      <c r="K86" s="22" t="n"/>
      <c r="L86" s="20" t="n"/>
      <c r="M86" s="15">
        <f>IF(L86="","",IF(OR(L86="Voicemail",L86="No answer"),"High",IF(L86="Answering service","Medium","Low")))</f>
        <v/>
      </c>
      <c r="N86" s="20" t="n"/>
      <c r="O86" s="23" t="n"/>
      <c r="P86" s="20" t="n"/>
      <c r="Q86" s="23" t="n"/>
      <c r="R86" s="17">
        <f>IF(Q86="","",Q86-TODAY())</f>
        <v/>
      </c>
      <c r="S86" s="20" t="n"/>
      <c r="T86" s="18">
        <f>IF(OR(S86="",N86&lt;&gt;"Paying"),"",IFERROR(INDEX(Plans!$B$2:$B$20,MATCH(S86,Plans!$A$2:$A$20,0)),""))</f>
        <v/>
      </c>
      <c r="U86" s="24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1" t="n"/>
      <c r="I87" s="20" t="n"/>
      <c r="J87" s="20" t="n"/>
      <c r="K87" s="22" t="n"/>
      <c r="L87" s="20" t="n"/>
      <c r="M87" s="15">
        <f>IF(L87="","",IF(OR(L87="Voicemail",L87="No answer"),"High",IF(L87="Answering service","Medium","Low")))</f>
        <v/>
      </c>
      <c r="N87" s="20" t="n"/>
      <c r="O87" s="23" t="n"/>
      <c r="P87" s="20" t="n"/>
      <c r="Q87" s="23" t="n"/>
      <c r="R87" s="17">
        <f>IF(Q87="","",Q87-TODAY())</f>
        <v/>
      </c>
      <c r="S87" s="20" t="n"/>
      <c r="T87" s="18">
        <f>IF(OR(S87="",N87&lt;&gt;"Paying"),"",IFERROR(INDEX(Plans!$B$2:$B$20,MATCH(S87,Plans!$A$2:$A$20,0)),""))</f>
        <v/>
      </c>
      <c r="U87" s="24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1" t="n"/>
      <c r="I88" s="20" t="n"/>
      <c r="J88" s="20" t="n"/>
      <c r="K88" s="22" t="n"/>
      <c r="L88" s="20" t="n"/>
      <c r="M88" s="15">
        <f>IF(L88="","",IF(OR(L88="Voicemail",L88="No answer"),"High",IF(L88="Answering service","Medium","Low")))</f>
        <v/>
      </c>
      <c r="N88" s="20" t="n"/>
      <c r="O88" s="23" t="n"/>
      <c r="P88" s="20" t="n"/>
      <c r="Q88" s="23" t="n"/>
      <c r="R88" s="17">
        <f>IF(Q88="","",Q88-TODAY())</f>
        <v/>
      </c>
      <c r="S88" s="20" t="n"/>
      <c r="T88" s="18">
        <f>IF(OR(S88="",N88&lt;&gt;"Paying"),"",IFERROR(INDEX(Plans!$B$2:$B$20,MATCH(S88,Plans!$A$2:$A$20,0)),""))</f>
        <v/>
      </c>
      <c r="U88" s="24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1" t="n"/>
      <c r="I89" s="20" t="n"/>
      <c r="J89" s="20" t="n"/>
      <c r="K89" s="22" t="n"/>
      <c r="L89" s="20" t="n"/>
      <c r="M89" s="15">
        <f>IF(L89="","",IF(OR(L89="Voicemail",L89="No answer"),"High",IF(L89="Answering service","Medium","Low")))</f>
        <v/>
      </c>
      <c r="N89" s="20" t="n"/>
      <c r="O89" s="23" t="n"/>
      <c r="P89" s="20" t="n"/>
      <c r="Q89" s="23" t="n"/>
      <c r="R89" s="17">
        <f>IF(Q89="","",Q89-TODAY())</f>
        <v/>
      </c>
      <c r="S89" s="20" t="n"/>
      <c r="T89" s="18">
        <f>IF(OR(S89="",N89&lt;&gt;"Paying"),"",IFERROR(INDEX(Plans!$B$2:$B$20,MATCH(S89,Plans!$A$2:$A$20,0)),""))</f>
        <v/>
      </c>
      <c r="U89" s="24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1" t="n"/>
      <c r="I90" s="20" t="n"/>
      <c r="J90" s="20" t="n"/>
      <c r="K90" s="22" t="n"/>
      <c r="L90" s="20" t="n"/>
      <c r="M90" s="15">
        <f>IF(L90="","",IF(OR(L90="Voicemail",L90="No answer"),"High",IF(L90="Answering service","Medium","Low")))</f>
        <v/>
      </c>
      <c r="N90" s="20" t="n"/>
      <c r="O90" s="23" t="n"/>
      <c r="P90" s="20" t="n"/>
      <c r="Q90" s="23" t="n"/>
      <c r="R90" s="17">
        <f>IF(Q90="","",Q90-TODAY())</f>
        <v/>
      </c>
      <c r="S90" s="20" t="n"/>
      <c r="T90" s="18">
        <f>IF(OR(S90="",N90&lt;&gt;"Paying"),"",IFERROR(INDEX(Plans!$B$2:$B$20,MATCH(S90,Plans!$A$2:$A$20,0)),""))</f>
        <v/>
      </c>
      <c r="U90" s="24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1" t="n"/>
      <c r="I91" s="20" t="n"/>
      <c r="J91" s="20" t="n"/>
      <c r="K91" s="22" t="n"/>
      <c r="L91" s="20" t="n"/>
      <c r="M91" s="15">
        <f>IF(L91="","",IF(OR(L91="Voicemail",L91="No answer"),"High",IF(L91="Answering service","Medium","Low")))</f>
        <v/>
      </c>
      <c r="N91" s="20" t="n"/>
      <c r="O91" s="23" t="n"/>
      <c r="P91" s="20" t="n"/>
      <c r="Q91" s="23" t="n"/>
      <c r="R91" s="17">
        <f>IF(Q91="","",Q91-TODAY())</f>
        <v/>
      </c>
      <c r="S91" s="20" t="n"/>
      <c r="T91" s="18">
        <f>IF(OR(S91="",N91&lt;&gt;"Paying"),"",IFERROR(INDEX(Plans!$B$2:$B$20,MATCH(S91,Plans!$A$2:$A$20,0)),""))</f>
        <v/>
      </c>
      <c r="U91" s="24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1" t="n"/>
      <c r="I92" s="20" t="n"/>
      <c r="J92" s="20" t="n"/>
      <c r="K92" s="22" t="n"/>
      <c r="L92" s="20" t="n"/>
      <c r="M92" s="15">
        <f>IF(L92="","",IF(OR(L92="Voicemail",L92="No answer"),"High",IF(L92="Answering service","Medium","Low")))</f>
        <v/>
      </c>
      <c r="N92" s="20" t="n"/>
      <c r="O92" s="23" t="n"/>
      <c r="P92" s="20" t="n"/>
      <c r="Q92" s="23" t="n"/>
      <c r="R92" s="17">
        <f>IF(Q92="","",Q92-TODAY())</f>
        <v/>
      </c>
      <c r="S92" s="20" t="n"/>
      <c r="T92" s="18">
        <f>IF(OR(S92="",N92&lt;&gt;"Paying"),"",IFERROR(INDEX(Plans!$B$2:$B$20,MATCH(S92,Plans!$A$2:$A$20,0)),""))</f>
        <v/>
      </c>
      <c r="U92" s="24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1" t="n"/>
      <c r="I93" s="20" t="n"/>
      <c r="J93" s="20" t="n"/>
      <c r="K93" s="22" t="n"/>
      <c r="L93" s="20" t="n"/>
      <c r="M93" s="15">
        <f>IF(L93="","",IF(OR(L93="Voicemail",L93="No answer"),"High",IF(L93="Answering service","Medium","Low")))</f>
        <v/>
      </c>
      <c r="N93" s="20" t="n"/>
      <c r="O93" s="23" t="n"/>
      <c r="P93" s="20" t="n"/>
      <c r="Q93" s="23" t="n"/>
      <c r="R93" s="17">
        <f>IF(Q93="","",Q93-TODAY())</f>
        <v/>
      </c>
      <c r="S93" s="20" t="n"/>
      <c r="T93" s="18">
        <f>IF(OR(S93="",N93&lt;&gt;"Paying"),"",IFERROR(INDEX(Plans!$B$2:$B$20,MATCH(S93,Plans!$A$2:$A$20,0)),""))</f>
        <v/>
      </c>
      <c r="U93" s="24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1" t="n"/>
      <c r="I94" s="20" t="n"/>
      <c r="J94" s="20" t="n"/>
      <c r="K94" s="22" t="n"/>
      <c r="L94" s="20" t="n"/>
      <c r="M94" s="15">
        <f>IF(L94="","",IF(OR(L94="Voicemail",L94="No answer"),"High",IF(L94="Answering service","Medium","Low")))</f>
        <v/>
      </c>
      <c r="N94" s="20" t="n"/>
      <c r="O94" s="23" t="n"/>
      <c r="P94" s="20" t="n"/>
      <c r="Q94" s="23" t="n"/>
      <c r="R94" s="17">
        <f>IF(Q94="","",Q94-TODAY())</f>
        <v/>
      </c>
      <c r="S94" s="20" t="n"/>
      <c r="T94" s="18">
        <f>IF(OR(S94="",N94&lt;&gt;"Paying"),"",IFERROR(INDEX(Plans!$B$2:$B$20,MATCH(S94,Plans!$A$2:$A$20,0)),""))</f>
        <v/>
      </c>
      <c r="U94" s="24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1" t="n"/>
      <c r="I95" s="20" t="n"/>
      <c r="J95" s="20" t="n"/>
      <c r="K95" s="22" t="n"/>
      <c r="L95" s="20" t="n"/>
      <c r="M95" s="15">
        <f>IF(L95="","",IF(OR(L95="Voicemail",L95="No answer"),"High",IF(L95="Answering service","Medium","Low")))</f>
        <v/>
      </c>
      <c r="N95" s="20" t="n"/>
      <c r="O95" s="23" t="n"/>
      <c r="P95" s="20" t="n"/>
      <c r="Q95" s="23" t="n"/>
      <c r="R95" s="17">
        <f>IF(Q95="","",Q95-TODAY())</f>
        <v/>
      </c>
      <c r="S95" s="20" t="n"/>
      <c r="T95" s="18">
        <f>IF(OR(S95="",N95&lt;&gt;"Paying"),"",IFERROR(INDEX(Plans!$B$2:$B$20,MATCH(S95,Plans!$A$2:$A$20,0)),""))</f>
        <v/>
      </c>
      <c r="U95" s="24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1" t="n"/>
      <c r="I96" s="20" t="n"/>
      <c r="J96" s="20" t="n"/>
      <c r="K96" s="22" t="n"/>
      <c r="L96" s="20" t="n"/>
      <c r="M96" s="15">
        <f>IF(L96="","",IF(OR(L96="Voicemail",L96="No answer"),"High",IF(L96="Answering service","Medium","Low")))</f>
        <v/>
      </c>
      <c r="N96" s="20" t="n"/>
      <c r="O96" s="23" t="n"/>
      <c r="P96" s="20" t="n"/>
      <c r="Q96" s="23" t="n"/>
      <c r="R96" s="17">
        <f>IF(Q96="","",Q96-TODAY())</f>
        <v/>
      </c>
      <c r="S96" s="20" t="n"/>
      <c r="T96" s="18">
        <f>IF(OR(S96="",N96&lt;&gt;"Paying"),"",IFERROR(INDEX(Plans!$B$2:$B$20,MATCH(S96,Plans!$A$2:$A$20,0)),""))</f>
        <v/>
      </c>
      <c r="U96" s="24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1" t="n"/>
      <c r="I97" s="20" t="n"/>
      <c r="J97" s="20" t="n"/>
      <c r="K97" s="22" t="n"/>
      <c r="L97" s="20" t="n"/>
      <c r="M97" s="15">
        <f>IF(L97="","",IF(OR(L97="Voicemail",L97="No answer"),"High",IF(L97="Answering service","Medium","Low")))</f>
        <v/>
      </c>
      <c r="N97" s="20" t="n"/>
      <c r="O97" s="23" t="n"/>
      <c r="P97" s="20" t="n"/>
      <c r="Q97" s="23" t="n"/>
      <c r="R97" s="17">
        <f>IF(Q97="","",Q97-TODAY())</f>
        <v/>
      </c>
      <c r="S97" s="20" t="n"/>
      <c r="T97" s="18">
        <f>IF(OR(S97="",N97&lt;&gt;"Paying"),"",IFERROR(INDEX(Plans!$B$2:$B$20,MATCH(S97,Plans!$A$2:$A$20,0)),""))</f>
        <v/>
      </c>
      <c r="U97" s="24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1" t="n"/>
      <c r="I98" s="20" t="n"/>
      <c r="J98" s="20" t="n"/>
      <c r="K98" s="22" t="n"/>
      <c r="L98" s="20" t="n"/>
      <c r="M98" s="15">
        <f>IF(L98="","",IF(OR(L98="Voicemail",L98="No answer"),"High",IF(L98="Answering service","Medium","Low")))</f>
        <v/>
      </c>
      <c r="N98" s="20" t="n"/>
      <c r="O98" s="23" t="n"/>
      <c r="P98" s="20" t="n"/>
      <c r="Q98" s="23" t="n"/>
      <c r="R98" s="17">
        <f>IF(Q98="","",Q98-TODAY())</f>
        <v/>
      </c>
      <c r="S98" s="20" t="n"/>
      <c r="T98" s="18">
        <f>IF(OR(S98="",N98&lt;&gt;"Paying"),"",IFERROR(INDEX(Plans!$B$2:$B$20,MATCH(S98,Plans!$A$2:$A$20,0)),""))</f>
        <v/>
      </c>
      <c r="U98" s="24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1" t="n"/>
      <c r="I99" s="20" t="n"/>
      <c r="J99" s="20" t="n"/>
      <c r="K99" s="22" t="n"/>
      <c r="L99" s="20" t="n"/>
      <c r="M99" s="15">
        <f>IF(L99="","",IF(OR(L99="Voicemail",L99="No answer"),"High",IF(L99="Answering service","Medium","Low")))</f>
        <v/>
      </c>
      <c r="N99" s="20" t="n"/>
      <c r="O99" s="23" t="n"/>
      <c r="P99" s="20" t="n"/>
      <c r="Q99" s="23" t="n"/>
      <c r="R99" s="17">
        <f>IF(Q99="","",Q99-TODAY())</f>
        <v/>
      </c>
      <c r="S99" s="20" t="n"/>
      <c r="T99" s="18">
        <f>IF(OR(S99="",N99&lt;&gt;"Paying"),"",IFERROR(INDEX(Plans!$B$2:$B$20,MATCH(S99,Plans!$A$2:$A$20,0)),""))</f>
        <v/>
      </c>
      <c r="U99" s="24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1" t="n"/>
      <c r="I100" s="20" t="n"/>
      <c r="J100" s="20" t="n"/>
      <c r="K100" s="22" t="n"/>
      <c r="L100" s="20" t="n"/>
      <c r="M100" s="15">
        <f>IF(L100="","",IF(OR(L100="Voicemail",L100="No answer"),"High",IF(L100="Answering service","Medium","Low")))</f>
        <v/>
      </c>
      <c r="N100" s="20" t="n"/>
      <c r="O100" s="23" t="n"/>
      <c r="P100" s="20" t="n"/>
      <c r="Q100" s="23" t="n"/>
      <c r="R100" s="17">
        <f>IF(Q100="","",Q100-TODAY())</f>
        <v/>
      </c>
      <c r="S100" s="20" t="n"/>
      <c r="T100" s="18">
        <f>IF(OR(S100="",N100&lt;&gt;"Paying"),"",IFERROR(INDEX(Plans!$B$2:$B$20,MATCH(S100,Plans!$A$2:$A$20,0)),""))</f>
        <v/>
      </c>
      <c r="U100" s="24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1" t="n"/>
      <c r="I101" s="20" t="n"/>
      <c r="J101" s="20" t="n"/>
      <c r="K101" s="22" t="n"/>
      <c r="L101" s="20" t="n"/>
      <c r="M101" s="15">
        <f>IF(L101="","",IF(OR(L101="Voicemail",L101="No answer"),"High",IF(L101="Answering service","Medium","Low")))</f>
        <v/>
      </c>
      <c r="N101" s="20" t="n"/>
      <c r="O101" s="23" t="n"/>
      <c r="P101" s="20" t="n"/>
      <c r="Q101" s="23" t="n"/>
      <c r="R101" s="17">
        <f>IF(Q101="","",Q101-TODAY())</f>
        <v/>
      </c>
      <c r="S101" s="20" t="n"/>
      <c r="T101" s="18">
        <f>IF(OR(S101="",N101&lt;&gt;"Paying"),"",IFERROR(INDEX(Plans!$B$2:$B$20,MATCH(S101,Plans!$A$2:$A$20,0)),""))</f>
        <v/>
      </c>
      <c r="U101" s="24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1" t="n"/>
      <c r="I102" s="20" t="n"/>
      <c r="J102" s="20" t="n"/>
      <c r="K102" s="22" t="n"/>
      <c r="L102" s="20" t="n"/>
      <c r="M102" s="15">
        <f>IF(L102="","",IF(OR(L102="Voicemail",L102="No answer"),"High",IF(L102="Answering service","Medium","Low")))</f>
        <v/>
      </c>
      <c r="N102" s="20" t="n"/>
      <c r="O102" s="23" t="n"/>
      <c r="P102" s="20" t="n"/>
      <c r="Q102" s="23" t="n"/>
      <c r="R102" s="17">
        <f>IF(Q102="","",Q102-TODAY())</f>
        <v/>
      </c>
      <c r="S102" s="20" t="n"/>
      <c r="T102" s="18">
        <f>IF(OR(S102="",N102&lt;&gt;"Paying"),"",IFERROR(INDEX(Plans!$B$2:$B$20,MATCH(S102,Plans!$A$2:$A$20,0)),""))</f>
        <v/>
      </c>
      <c r="U102" s="24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1" t="n"/>
      <c r="I103" s="20" t="n"/>
      <c r="J103" s="20" t="n"/>
      <c r="K103" s="22" t="n"/>
      <c r="L103" s="20" t="n"/>
      <c r="M103" s="15">
        <f>IF(L103="","",IF(OR(L103="Voicemail",L103="No answer"),"High",IF(L103="Answering service","Medium","Low")))</f>
        <v/>
      </c>
      <c r="N103" s="20" t="n"/>
      <c r="O103" s="23" t="n"/>
      <c r="P103" s="20" t="n"/>
      <c r="Q103" s="23" t="n"/>
      <c r="R103" s="17">
        <f>IF(Q103="","",Q103-TODAY())</f>
        <v/>
      </c>
      <c r="S103" s="20" t="n"/>
      <c r="T103" s="18">
        <f>IF(OR(S103="",N103&lt;&gt;"Paying"),"",IFERROR(INDEX(Plans!$B$2:$B$20,MATCH(S103,Plans!$A$2:$A$20,0)),""))</f>
        <v/>
      </c>
      <c r="U103" s="24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1" t="n"/>
      <c r="I104" s="20" t="n"/>
      <c r="J104" s="20" t="n"/>
      <c r="K104" s="22" t="n"/>
      <c r="L104" s="20" t="n"/>
      <c r="M104" s="15">
        <f>IF(L104="","",IF(OR(L104="Voicemail",L104="No answer"),"High",IF(L104="Answering service","Medium","Low")))</f>
        <v/>
      </c>
      <c r="N104" s="20" t="n"/>
      <c r="O104" s="23" t="n"/>
      <c r="P104" s="20" t="n"/>
      <c r="Q104" s="23" t="n"/>
      <c r="R104" s="17">
        <f>IF(Q104="","",Q104-TODAY())</f>
        <v/>
      </c>
      <c r="S104" s="20" t="n"/>
      <c r="T104" s="18">
        <f>IF(OR(S104="",N104&lt;&gt;"Paying"),"",IFERROR(INDEX(Plans!$B$2:$B$20,MATCH(S104,Plans!$A$2:$A$20,0)),""))</f>
        <v/>
      </c>
      <c r="U104" s="24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1" t="n"/>
      <c r="I105" s="20" t="n"/>
      <c r="J105" s="20" t="n"/>
      <c r="K105" s="22" t="n"/>
      <c r="L105" s="20" t="n"/>
      <c r="M105" s="15">
        <f>IF(L105="","",IF(OR(L105="Voicemail",L105="No answer"),"High",IF(L105="Answering service","Medium","Low")))</f>
        <v/>
      </c>
      <c r="N105" s="20" t="n"/>
      <c r="O105" s="23" t="n"/>
      <c r="P105" s="20" t="n"/>
      <c r="Q105" s="23" t="n"/>
      <c r="R105" s="17">
        <f>IF(Q105="","",Q105-TODAY())</f>
        <v/>
      </c>
      <c r="S105" s="20" t="n"/>
      <c r="T105" s="18">
        <f>IF(OR(S105="",N105&lt;&gt;"Paying"),"",IFERROR(INDEX(Plans!$B$2:$B$20,MATCH(S105,Plans!$A$2:$A$20,0)),""))</f>
        <v/>
      </c>
      <c r="U105" s="24" t="n"/>
    </row>
    <row r="106">
      <c r="A106" s="20" t="n"/>
      <c r="B106" s="20" t="n"/>
      <c r="C106" s="20" t="n"/>
      <c r="D106" s="20" t="n"/>
      <c r="E106" s="20" t="n"/>
      <c r="F106" s="20" t="n"/>
      <c r="G106" s="20" t="n"/>
      <c r="H106" s="21" t="n"/>
      <c r="I106" s="20" t="n"/>
      <c r="J106" s="20" t="n"/>
      <c r="K106" s="22" t="n"/>
      <c r="L106" s="20" t="n"/>
      <c r="M106" s="15">
        <f>IF(L106="","",IF(OR(L106="Voicemail",L106="No answer"),"High",IF(L106="Answering service","Medium","Low")))</f>
        <v/>
      </c>
      <c r="N106" s="20" t="n"/>
      <c r="O106" s="23" t="n"/>
      <c r="P106" s="20" t="n"/>
      <c r="Q106" s="23" t="n"/>
      <c r="R106" s="17">
        <f>IF(Q106="","",Q106-TODAY())</f>
        <v/>
      </c>
      <c r="S106" s="20" t="n"/>
      <c r="T106" s="18">
        <f>IF(OR(S106="",N106&lt;&gt;"Paying"),"",IFERROR(INDEX(Plans!$B$2:$B$20,MATCH(S106,Plans!$A$2:$A$20,0)),""))</f>
        <v/>
      </c>
      <c r="U106" s="24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1" t="n"/>
      <c r="I107" s="20" t="n"/>
      <c r="J107" s="20" t="n"/>
      <c r="K107" s="22" t="n"/>
      <c r="L107" s="20" t="n"/>
      <c r="M107" s="15">
        <f>IF(L107="","",IF(OR(L107="Voicemail",L107="No answer"),"High",IF(L107="Answering service","Medium","Low")))</f>
        <v/>
      </c>
      <c r="N107" s="20" t="n"/>
      <c r="O107" s="23" t="n"/>
      <c r="P107" s="20" t="n"/>
      <c r="Q107" s="23" t="n"/>
      <c r="R107" s="17">
        <f>IF(Q107="","",Q107-TODAY())</f>
        <v/>
      </c>
      <c r="S107" s="20" t="n"/>
      <c r="T107" s="18">
        <f>IF(OR(S107="",N107&lt;&gt;"Paying"),"",IFERROR(INDEX(Plans!$B$2:$B$20,MATCH(S107,Plans!$A$2:$A$20,0)),""))</f>
        <v/>
      </c>
      <c r="U107" s="24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1" t="n"/>
      <c r="I108" s="20" t="n"/>
      <c r="J108" s="20" t="n"/>
      <c r="K108" s="22" t="n"/>
      <c r="L108" s="20" t="n"/>
      <c r="M108" s="15">
        <f>IF(L108="","",IF(OR(L108="Voicemail",L108="No answer"),"High",IF(L108="Answering service","Medium","Low")))</f>
        <v/>
      </c>
      <c r="N108" s="20" t="n"/>
      <c r="O108" s="23" t="n"/>
      <c r="P108" s="20" t="n"/>
      <c r="Q108" s="23" t="n"/>
      <c r="R108" s="17">
        <f>IF(Q108="","",Q108-TODAY())</f>
        <v/>
      </c>
      <c r="S108" s="20" t="n"/>
      <c r="T108" s="18">
        <f>IF(OR(S108="",N108&lt;&gt;"Paying"),"",IFERROR(INDEX(Plans!$B$2:$B$20,MATCH(S108,Plans!$A$2:$A$20,0)),""))</f>
        <v/>
      </c>
      <c r="U108" s="24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1" t="n"/>
      <c r="I109" s="20" t="n"/>
      <c r="J109" s="20" t="n"/>
      <c r="K109" s="22" t="n"/>
      <c r="L109" s="20" t="n"/>
      <c r="M109" s="15">
        <f>IF(L109="","",IF(OR(L109="Voicemail",L109="No answer"),"High",IF(L109="Answering service","Medium","Low")))</f>
        <v/>
      </c>
      <c r="N109" s="20" t="n"/>
      <c r="O109" s="23" t="n"/>
      <c r="P109" s="20" t="n"/>
      <c r="Q109" s="23" t="n"/>
      <c r="R109" s="17">
        <f>IF(Q109="","",Q109-TODAY())</f>
        <v/>
      </c>
      <c r="S109" s="20" t="n"/>
      <c r="T109" s="18">
        <f>IF(OR(S109="",N109&lt;&gt;"Paying"),"",IFERROR(INDEX(Plans!$B$2:$B$20,MATCH(S109,Plans!$A$2:$A$20,0)),""))</f>
        <v/>
      </c>
      <c r="U109" s="24" t="n"/>
    </row>
    <row r="110">
      <c r="A110" s="20" t="n"/>
      <c r="B110" s="20" t="n"/>
      <c r="C110" s="20" t="n"/>
      <c r="D110" s="20" t="n"/>
      <c r="E110" s="20" t="n"/>
      <c r="F110" s="20" t="n"/>
      <c r="G110" s="20" t="n"/>
      <c r="H110" s="21" t="n"/>
      <c r="I110" s="20" t="n"/>
      <c r="J110" s="20" t="n"/>
      <c r="K110" s="22" t="n"/>
      <c r="L110" s="20" t="n"/>
      <c r="M110" s="15">
        <f>IF(L110="","",IF(OR(L110="Voicemail",L110="No answer"),"High",IF(L110="Answering service","Medium","Low")))</f>
        <v/>
      </c>
      <c r="N110" s="20" t="n"/>
      <c r="O110" s="23" t="n"/>
      <c r="P110" s="20" t="n"/>
      <c r="Q110" s="23" t="n"/>
      <c r="R110" s="17">
        <f>IF(Q110="","",Q110-TODAY())</f>
        <v/>
      </c>
      <c r="S110" s="20" t="n"/>
      <c r="T110" s="18">
        <f>IF(OR(S110="",N110&lt;&gt;"Paying"),"",IFERROR(INDEX(Plans!$B$2:$B$20,MATCH(S110,Plans!$A$2:$A$20,0)),""))</f>
        <v/>
      </c>
      <c r="U110" s="24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1" t="n"/>
      <c r="I111" s="20" t="n"/>
      <c r="J111" s="20" t="n"/>
      <c r="K111" s="22" t="n"/>
      <c r="L111" s="20" t="n"/>
      <c r="M111" s="15">
        <f>IF(L111="","",IF(OR(L111="Voicemail",L111="No answer"),"High",IF(L111="Answering service","Medium","Low")))</f>
        <v/>
      </c>
      <c r="N111" s="20" t="n"/>
      <c r="O111" s="23" t="n"/>
      <c r="P111" s="20" t="n"/>
      <c r="Q111" s="23" t="n"/>
      <c r="R111" s="17">
        <f>IF(Q111="","",Q111-TODAY())</f>
        <v/>
      </c>
      <c r="S111" s="20" t="n"/>
      <c r="T111" s="18">
        <f>IF(OR(S111="",N111&lt;&gt;"Paying"),"",IFERROR(INDEX(Plans!$B$2:$B$20,MATCH(S111,Plans!$A$2:$A$20,0)),""))</f>
        <v/>
      </c>
      <c r="U111" s="24" t="n"/>
    </row>
    <row r="112">
      <c r="A112" s="20" t="n"/>
      <c r="B112" s="20" t="n"/>
      <c r="C112" s="20" t="n"/>
      <c r="D112" s="20" t="n"/>
      <c r="E112" s="20" t="n"/>
      <c r="F112" s="20" t="n"/>
      <c r="G112" s="20" t="n"/>
      <c r="H112" s="21" t="n"/>
      <c r="I112" s="20" t="n"/>
      <c r="J112" s="20" t="n"/>
      <c r="K112" s="22" t="n"/>
      <c r="L112" s="20" t="n"/>
      <c r="M112" s="15">
        <f>IF(L112="","",IF(OR(L112="Voicemail",L112="No answer"),"High",IF(L112="Answering service","Medium","Low")))</f>
        <v/>
      </c>
      <c r="N112" s="20" t="n"/>
      <c r="O112" s="23" t="n"/>
      <c r="P112" s="20" t="n"/>
      <c r="Q112" s="23" t="n"/>
      <c r="R112" s="17">
        <f>IF(Q112="","",Q112-TODAY())</f>
        <v/>
      </c>
      <c r="S112" s="20" t="n"/>
      <c r="T112" s="18">
        <f>IF(OR(S112="",N112&lt;&gt;"Paying"),"",IFERROR(INDEX(Plans!$B$2:$B$20,MATCH(S112,Plans!$A$2:$A$20,0)),""))</f>
        <v/>
      </c>
      <c r="U112" s="24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1" t="n"/>
      <c r="I113" s="20" t="n"/>
      <c r="J113" s="20" t="n"/>
      <c r="K113" s="22" t="n"/>
      <c r="L113" s="20" t="n"/>
      <c r="M113" s="15">
        <f>IF(L113="","",IF(OR(L113="Voicemail",L113="No answer"),"High",IF(L113="Answering service","Medium","Low")))</f>
        <v/>
      </c>
      <c r="N113" s="20" t="n"/>
      <c r="O113" s="23" t="n"/>
      <c r="P113" s="20" t="n"/>
      <c r="Q113" s="23" t="n"/>
      <c r="R113" s="17">
        <f>IF(Q113="","",Q113-TODAY())</f>
        <v/>
      </c>
      <c r="S113" s="20" t="n"/>
      <c r="T113" s="18">
        <f>IF(OR(S113="",N113&lt;&gt;"Paying"),"",IFERROR(INDEX(Plans!$B$2:$B$20,MATCH(S113,Plans!$A$2:$A$20,0)),""))</f>
        <v/>
      </c>
      <c r="U113" s="24" t="n"/>
    </row>
    <row r="114">
      <c r="A114" s="20" t="n"/>
      <c r="B114" s="20" t="n"/>
      <c r="C114" s="20" t="n"/>
      <c r="D114" s="20" t="n"/>
      <c r="E114" s="20" t="n"/>
      <c r="F114" s="20" t="n"/>
      <c r="G114" s="20" t="n"/>
      <c r="H114" s="21" t="n"/>
      <c r="I114" s="20" t="n"/>
      <c r="J114" s="20" t="n"/>
      <c r="K114" s="22" t="n"/>
      <c r="L114" s="20" t="n"/>
      <c r="M114" s="15">
        <f>IF(L114="","",IF(OR(L114="Voicemail",L114="No answer"),"High",IF(L114="Answering service","Medium","Low")))</f>
        <v/>
      </c>
      <c r="N114" s="20" t="n"/>
      <c r="O114" s="23" t="n"/>
      <c r="P114" s="20" t="n"/>
      <c r="Q114" s="23" t="n"/>
      <c r="R114" s="17">
        <f>IF(Q114="","",Q114-TODAY())</f>
        <v/>
      </c>
      <c r="S114" s="20" t="n"/>
      <c r="T114" s="18">
        <f>IF(OR(S114="",N114&lt;&gt;"Paying"),"",IFERROR(INDEX(Plans!$B$2:$B$20,MATCH(S114,Plans!$A$2:$A$20,0)),""))</f>
        <v/>
      </c>
      <c r="U114" s="24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1" t="n"/>
      <c r="I115" s="20" t="n"/>
      <c r="J115" s="20" t="n"/>
      <c r="K115" s="22" t="n"/>
      <c r="L115" s="20" t="n"/>
      <c r="M115" s="15">
        <f>IF(L115="","",IF(OR(L115="Voicemail",L115="No answer"),"High",IF(L115="Answering service","Medium","Low")))</f>
        <v/>
      </c>
      <c r="N115" s="20" t="n"/>
      <c r="O115" s="23" t="n"/>
      <c r="P115" s="20" t="n"/>
      <c r="Q115" s="23" t="n"/>
      <c r="R115" s="17">
        <f>IF(Q115="","",Q115-TODAY())</f>
        <v/>
      </c>
      <c r="S115" s="20" t="n"/>
      <c r="T115" s="18">
        <f>IF(OR(S115="",N115&lt;&gt;"Paying"),"",IFERROR(INDEX(Plans!$B$2:$B$20,MATCH(S115,Plans!$A$2:$A$20,0)),""))</f>
        <v/>
      </c>
      <c r="U115" s="24" t="n"/>
    </row>
    <row r="116">
      <c r="A116" s="20" t="n"/>
      <c r="B116" s="20" t="n"/>
      <c r="C116" s="20" t="n"/>
      <c r="D116" s="20" t="n"/>
      <c r="E116" s="20" t="n"/>
      <c r="F116" s="20" t="n"/>
      <c r="G116" s="20" t="n"/>
      <c r="H116" s="21" t="n"/>
      <c r="I116" s="20" t="n"/>
      <c r="J116" s="20" t="n"/>
      <c r="K116" s="22" t="n"/>
      <c r="L116" s="20" t="n"/>
      <c r="M116" s="15">
        <f>IF(L116="","",IF(OR(L116="Voicemail",L116="No answer"),"High",IF(L116="Answering service","Medium","Low")))</f>
        <v/>
      </c>
      <c r="N116" s="20" t="n"/>
      <c r="O116" s="23" t="n"/>
      <c r="P116" s="20" t="n"/>
      <c r="Q116" s="23" t="n"/>
      <c r="R116" s="17">
        <f>IF(Q116="","",Q116-TODAY())</f>
        <v/>
      </c>
      <c r="S116" s="20" t="n"/>
      <c r="T116" s="18">
        <f>IF(OR(S116="",N116&lt;&gt;"Paying"),"",IFERROR(INDEX(Plans!$B$2:$B$20,MATCH(S116,Plans!$A$2:$A$20,0)),""))</f>
        <v/>
      </c>
      <c r="U116" s="24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1" t="n"/>
      <c r="I117" s="20" t="n"/>
      <c r="J117" s="20" t="n"/>
      <c r="K117" s="22" t="n"/>
      <c r="L117" s="20" t="n"/>
      <c r="M117" s="15">
        <f>IF(L117="","",IF(OR(L117="Voicemail",L117="No answer"),"High",IF(L117="Answering service","Medium","Low")))</f>
        <v/>
      </c>
      <c r="N117" s="20" t="n"/>
      <c r="O117" s="23" t="n"/>
      <c r="P117" s="20" t="n"/>
      <c r="Q117" s="23" t="n"/>
      <c r="R117" s="17">
        <f>IF(Q117="","",Q117-TODAY())</f>
        <v/>
      </c>
      <c r="S117" s="20" t="n"/>
      <c r="T117" s="18">
        <f>IF(OR(S117="",N117&lt;&gt;"Paying"),"",IFERROR(INDEX(Plans!$B$2:$B$20,MATCH(S117,Plans!$A$2:$A$20,0)),""))</f>
        <v/>
      </c>
      <c r="U117" s="24" t="n"/>
    </row>
    <row r="118">
      <c r="A118" s="20" t="n"/>
      <c r="B118" s="20" t="n"/>
      <c r="C118" s="20" t="n"/>
      <c r="D118" s="20" t="n"/>
      <c r="E118" s="20" t="n"/>
      <c r="F118" s="20" t="n"/>
      <c r="G118" s="20" t="n"/>
      <c r="H118" s="21" t="n"/>
      <c r="I118" s="20" t="n"/>
      <c r="J118" s="20" t="n"/>
      <c r="K118" s="22" t="n"/>
      <c r="L118" s="20" t="n"/>
      <c r="M118" s="15">
        <f>IF(L118="","",IF(OR(L118="Voicemail",L118="No answer"),"High",IF(L118="Answering service","Medium","Low")))</f>
        <v/>
      </c>
      <c r="N118" s="20" t="n"/>
      <c r="O118" s="23" t="n"/>
      <c r="P118" s="20" t="n"/>
      <c r="Q118" s="23" t="n"/>
      <c r="R118" s="17">
        <f>IF(Q118="","",Q118-TODAY())</f>
        <v/>
      </c>
      <c r="S118" s="20" t="n"/>
      <c r="T118" s="18">
        <f>IF(OR(S118="",N118&lt;&gt;"Paying"),"",IFERROR(INDEX(Plans!$B$2:$B$20,MATCH(S118,Plans!$A$2:$A$20,0)),""))</f>
        <v/>
      </c>
      <c r="U118" s="24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1" t="n"/>
      <c r="I119" s="20" t="n"/>
      <c r="J119" s="20" t="n"/>
      <c r="K119" s="22" t="n"/>
      <c r="L119" s="20" t="n"/>
      <c r="M119" s="15">
        <f>IF(L119="","",IF(OR(L119="Voicemail",L119="No answer"),"High",IF(L119="Answering service","Medium","Low")))</f>
        <v/>
      </c>
      <c r="N119" s="20" t="n"/>
      <c r="O119" s="23" t="n"/>
      <c r="P119" s="20" t="n"/>
      <c r="Q119" s="23" t="n"/>
      <c r="R119" s="17">
        <f>IF(Q119="","",Q119-TODAY())</f>
        <v/>
      </c>
      <c r="S119" s="20" t="n"/>
      <c r="T119" s="18">
        <f>IF(OR(S119="",N119&lt;&gt;"Paying"),"",IFERROR(INDEX(Plans!$B$2:$B$20,MATCH(S119,Plans!$A$2:$A$20,0)),""))</f>
        <v/>
      </c>
      <c r="U119" s="24" t="n"/>
    </row>
    <row r="120">
      <c r="A120" s="20" t="n"/>
      <c r="B120" s="20" t="n"/>
      <c r="C120" s="20" t="n"/>
      <c r="D120" s="20" t="n"/>
      <c r="E120" s="20" t="n"/>
      <c r="F120" s="20" t="n"/>
      <c r="G120" s="20" t="n"/>
      <c r="H120" s="21" t="n"/>
      <c r="I120" s="20" t="n"/>
      <c r="J120" s="20" t="n"/>
      <c r="K120" s="22" t="n"/>
      <c r="L120" s="20" t="n"/>
      <c r="M120" s="15">
        <f>IF(L120="","",IF(OR(L120="Voicemail",L120="No answer"),"High",IF(L120="Answering service","Medium","Low")))</f>
        <v/>
      </c>
      <c r="N120" s="20" t="n"/>
      <c r="O120" s="23" t="n"/>
      <c r="P120" s="20" t="n"/>
      <c r="Q120" s="23" t="n"/>
      <c r="R120" s="17">
        <f>IF(Q120="","",Q120-TODAY())</f>
        <v/>
      </c>
      <c r="S120" s="20" t="n"/>
      <c r="T120" s="18">
        <f>IF(OR(S120="",N120&lt;&gt;"Paying"),"",IFERROR(INDEX(Plans!$B$2:$B$20,MATCH(S120,Plans!$A$2:$A$20,0)),""))</f>
        <v/>
      </c>
      <c r="U120" s="24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1" t="n"/>
      <c r="I121" s="20" t="n"/>
      <c r="J121" s="20" t="n"/>
      <c r="K121" s="22" t="n"/>
      <c r="L121" s="20" t="n"/>
      <c r="M121" s="15">
        <f>IF(L121="","",IF(OR(L121="Voicemail",L121="No answer"),"High",IF(L121="Answering service","Medium","Low")))</f>
        <v/>
      </c>
      <c r="N121" s="20" t="n"/>
      <c r="O121" s="23" t="n"/>
      <c r="P121" s="20" t="n"/>
      <c r="Q121" s="23" t="n"/>
      <c r="R121" s="17">
        <f>IF(Q121="","",Q121-TODAY())</f>
        <v/>
      </c>
      <c r="S121" s="20" t="n"/>
      <c r="T121" s="18">
        <f>IF(OR(S121="",N121&lt;&gt;"Paying"),"",IFERROR(INDEX(Plans!$B$2:$B$20,MATCH(S121,Plans!$A$2:$A$20,0)),""))</f>
        <v/>
      </c>
      <c r="U121" s="24" t="n"/>
    </row>
    <row r="122">
      <c r="A122" s="20" t="n"/>
      <c r="B122" s="20" t="n"/>
      <c r="C122" s="20" t="n"/>
      <c r="D122" s="20" t="n"/>
      <c r="E122" s="20" t="n"/>
      <c r="F122" s="20" t="n"/>
      <c r="G122" s="20" t="n"/>
      <c r="H122" s="21" t="n"/>
      <c r="I122" s="20" t="n"/>
      <c r="J122" s="20" t="n"/>
      <c r="K122" s="22" t="n"/>
      <c r="L122" s="20" t="n"/>
      <c r="M122" s="15">
        <f>IF(L122="","",IF(OR(L122="Voicemail",L122="No answer"),"High",IF(L122="Answering service","Medium","Low")))</f>
        <v/>
      </c>
      <c r="N122" s="20" t="n"/>
      <c r="O122" s="23" t="n"/>
      <c r="P122" s="20" t="n"/>
      <c r="Q122" s="23" t="n"/>
      <c r="R122" s="17">
        <f>IF(Q122="","",Q122-TODAY())</f>
        <v/>
      </c>
      <c r="S122" s="20" t="n"/>
      <c r="T122" s="18">
        <f>IF(OR(S122="",N122&lt;&gt;"Paying"),"",IFERROR(INDEX(Plans!$B$2:$B$20,MATCH(S122,Plans!$A$2:$A$20,0)),""))</f>
        <v/>
      </c>
      <c r="U122" s="24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1" t="n"/>
      <c r="I123" s="20" t="n"/>
      <c r="J123" s="20" t="n"/>
      <c r="K123" s="22" t="n"/>
      <c r="L123" s="20" t="n"/>
      <c r="M123" s="15">
        <f>IF(L123="","",IF(OR(L123="Voicemail",L123="No answer"),"High",IF(L123="Answering service","Medium","Low")))</f>
        <v/>
      </c>
      <c r="N123" s="20" t="n"/>
      <c r="O123" s="23" t="n"/>
      <c r="P123" s="20" t="n"/>
      <c r="Q123" s="23" t="n"/>
      <c r="R123" s="17">
        <f>IF(Q123="","",Q123-TODAY())</f>
        <v/>
      </c>
      <c r="S123" s="20" t="n"/>
      <c r="T123" s="18">
        <f>IF(OR(S123="",N123&lt;&gt;"Paying"),"",IFERROR(INDEX(Plans!$B$2:$B$20,MATCH(S123,Plans!$A$2:$A$20,0)),""))</f>
        <v/>
      </c>
      <c r="U123" s="24" t="n"/>
    </row>
    <row r="124">
      <c r="A124" s="20" t="n"/>
      <c r="B124" s="20" t="n"/>
      <c r="C124" s="20" t="n"/>
      <c r="D124" s="20" t="n"/>
      <c r="E124" s="20" t="n"/>
      <c r="F124" s="20" t="n"/>
      <c r="G124" s="20" t="n"/>
      <c r="H124" s="21" t="n"/>
      <c r="I124" s="20" t="n"/>
      <c r="J124" s="20" t="n"/>
      <c r="K124" s="22" t="n"/>
      <c r="L124" s="20" t="n"/>
      <c r="M124" s="15">
        <f>IF(L124="","",IF(OR(L124="Voicemail",L124="No answer"),"High",IF(L124="Answering service","Medium","Low")))</f>
        <v/>
      </c>
      <c r="N124" s="20" t="n"/>
      <c r="O124" s="23" t="n"/>
      <c r="P124" s="20" t="n"/>
      <c r="Q124" s="23" t="n"/>
      <c r="R124" s="17">
        <f>IF(Q124="","",Q124-TODAY())</f>
        <v/>
      </c>
      <c r="S124" s="20" t="n"/>
      <c r="T124" s="18">
        <f>IF(OR(S124="",N124&lt;&gt;"Paying"),"",IFERROR(INDEX(Plans!$B$2:$B$20,MATCH(S124,Plans!$A$2:$A$20,0)),""))</f>
        <v/>
      </c>
      <c r="U124" s="24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1" t="n"/>
      <c r="I125" s="20" t="n"/>
      <c r="J125" s="20" t="n"/>
      <c r="K125" s="22" t="n"/>
      <c r="L125" s="20" t="n"/>
      <c r="M125" s="15">
        <f>IF(L125="","",IF(OR(L125="Voicemail",L125="No answer"),"High",IF(L125="Answering service","Medium","Low")))</f>
        <v/>
      </c>
      <c r="N125" s="20" t="n"/>
      <c r="O125" s="23" t="n"/>
      <c r="P125" s="20" t="n"/>
      <c r="Q125" s="23" t="n"/>
      <c r="R125" s="17">
        <f>IF(Q125="","",Q125-TODAY())</f>
        <v/>
      </c>
      <c r="S125" s="20" t="n"/>
      <c r="T125" s="18">
        <f>IF(OR(S125="",N125&lt;&gt;"Paying"),"",IFERROR(INDEX(Plans!$B$2:$B$20,MATCH(S125,Plans!$A$2:$A$20,0)),""))</f>
        <v/>
      </c>
      <c r="U125" s="24" t="n"/>
    </row>
    <row r="126">
      <c r="A126" s="20" t="n"/>
      <c r="B126" s="20" t="n"/>
      <c r="C126" s="20" t="n"/>
      <c r="D126" s="20" t="n"/>
      <c r="E126" s="20" t="n"/>
      <c r="F126" s="20" t="n"/>
      <c r="G126" s="20" t="n"/>
      <c r="H126" s="21" t="n"/>
      <c r="I126" s="20" t="n"/>
      <c r="J126" s="20" t="n"/>
      <c r="K126" s="22" t="n"/>
      <c r="L126" s="20" t="n"/>
      <c r="M126" s="15">
        <f>IF(L126="","",IF(OR(L126="Voicemail",L126="No answer"),"High",IF(L126="Answering service","Medium","Low")))</f>
        <v/>
      </c>
      <c r="N126" s="20" t="n"/>
      <c r="O126" s="23" t="n"/>
      <c r="P126" s="20" t="n"/>
      <c r="Q126" s="23" t="n"/>
      <c r="R126" s="17">
        <f>IF(Q126="","",Q126-TODAY())</f>
        <v/>
      </c>
      <c r="S126" s="20" t="n"/>
      <c r="T126" s="18">
        <f>IF(OR(S126="",N126&lt;&gt;"Paying"),"",IFERROR(INDEX(Plans!$B$2:$B$20,MATCH(S126,Plans!$A$2:$A$20,0)),""))</f>
        <v/>
      </c>
      <c r="U126" s="24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1" t="n"/>
      <c r="I127" s="20" t="n"/>
      <c r="J127" s="20" t="n"/>
      <c r="K127" s="22" t="n"/>
      <c r="L127" s="20" t="n"/>
      <c r="M127" s="15">
        <f>IF(L127="","",IF(OR(L127="Voicemail",L127="No answer"),"High",IF(L127="Answering service","Medium","Low")))</f>
        <v/>
      </c>
      <c r="N127" s="20" t="n"/>
      <c r="O127" s="23" t="n"/>
      <c r="P127" s="20" t="n"/>
      <c r="Q127" s="23" t="n"/>
      <c r="R127" s="17">
        <f>IF(Q127="","",Q127-TODAY())</f>
        <v/>
      </c>
      <c r="S127" s="20" t="n"/>
      <c r="T127" s="18">
        <f>IF(OR(S127="",N127&lt;&gt;"Paying"),"",IFERROR(INDEX(Plans!$B$2:$B$20,MATCH(S127,Plans!$A$2:$A$20,0)),""))</f>
        <v/>
      </c>
      <c r="U127" s="24" t="n"/>
    </row>
    <row r="128">
      <c r="A128" s="20" t="n"/>
      <c r="B128" s="20" t="n"/>
      <c r="C128" s="20" t="n"/>
      <c r="D128" s="20" t="n"/>
      <c r="E128" s="20" t="n"/>
      <c r="F128" s="20" t="n"/>
      <c r="G128" s="20" t="n"/>
      <c r="H128" s="21" t="n"/>
      <c r="I128" s="20" t="n"/>
      <c r="J128" s="20" t="n"/>
      <c r="K128" s="22" t="n"/>
      <c r="L128" s="20" t="n"/>
      <c r="M128" s="15">
        <f>IF(L128="","",IF(OR(L128="Voicemail",L128="No answer"),"High",IF(L128="Answering service","Medium","Low")))</f>
        <v/>
      </c>
      <c r="N128" s="20" t="n"/>
      <c r="O128" s="23" t="n"/>
      <c r="P128" s="20" t="n"/>
      <c r="Q128" s="23" t="n"/>
      <c r="R128" s="17">
        <f>IF(Q128="","",Q128-TODAY())</f>
        <v/>
      </c>
      <c r="S128" s="20" t="n"/>
      <c r="T128" s="18">
        <f>IF(OR(S128="",N128&lt;&gt;"Paying"),"",IFERROR(INDEX(Plans!$B$2:$B$20,MATCH(S128,Plans!$A$2:$A$20,0)),""))</f>
        <v/>
      </c>
      <c r="U128" s="24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1" t="n"/>
      <c r="I129" s="20" t="n"/>
      <c r="J129" s="20" t="n"/>
      <c r="K129" s="22" t="n"/>
      <c r="L129" s="20" t="n"/>
      <c r="M129" s="15">
        <f>IF(L129="","",IF(OR(L129="Voicemail",L129="No answer"),"High",IF(L129="Answering service","Medium","Low")))</f>
        <v/>
      </c>
      <c r="N129" s="20" t="n"/>
      <c r="O129" s="23" t="n"/>
      <c r="P129" s="20" t="n"/>
      <c r="Q129" s="23" t="n"/>
      <c r="R129" s="17">
        <f>IF(Q129="","",Q129-TODAY())</f>
        <v/>
      </c>
      <c r="S129" s="20" t="n"/>
      <c r="T129" s="18">
        <f>IF(OR(S129="",N129&lt;&gt;"Paying"),"",IFERROR(INDEX(Plans!$B$2:$B$20,MATCH(S129,Plans!$A$2:$A$20,0)),""))</f>
        <v/>
      </c>
      <c r="U129" s="24" t="n"/>
    </row>
    <row r="130">
      <c r="A130" s="20" t="n"/>
      <c r="B130" s="20" t="n"/>
      <c r="C130" s="20" t="n"/>
      <c r="D130" s="20" t="n"/>
      <c r="E130" s="20" t="n"/>
      <c r="F130" s="20" t="n"/>
      <c r="G130" s="20" t="n"/>
      <c r="H130" s="21" t="n"/>
      <c r="I130" s="20" t="n"/>
      <c r="J130" s="20" t="n"/>
      <c r="K130" s="22" t="n"/>
      <c r="L130" s="20" t="n"/>
      <c r="M130" s="15">
        <f>IF(L130="","",IF(OR(L130="Voicemail",L130="No answer"),"High",IF(L130="Answering service","Medium","Low")))</f>
        <v/>
      </c>
      <c r="N130" s="20" t="n"/>
      <c r="O130" s="23" t="n"/>
      <c r="P130" s="20" t="n"/>
      <c r="Q130" s="23" t="n"/>
      <c r="R130" s="17">
        <f>IF(Q130="","",Q130-TODAY())</f>
        <v/>
      </c>
      <c r="S130" s="20" t="n"/>
      <c r="T130" s="18">
        <f>IF(OR(S130="",N130&lt;&gt;"Paying"),"",IFERROR(INDEX(Plans!$B$2:$B$20,MATCH(S130,Plans!$A$2:$A$20,0)),""))</f>
        <v/>
      </c>
      <c r="U130" s="24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1" t="n"/>
      <c r="I131" s="20" t="n"/>
      <c r="J131" s="20" t="n"/>
      <c r="K131" s="22" t="n"/>
      <c r="L131" s="20" t="n"/>
      <c r="M131" s="15">
        <f>IF(L131="","",IF(OR(L131="Voicemail",L131="No answer"),"High",IF(L131="Answering service","Medium","Low")))</f>
        <v/>
      </c>
      <c r="N131" s="20" t="n"/>
      <c r="O131" s="23" t="n"/>
      <c r="P131" s="20" t="n"/>
      <c r="Q131" s="23" t="n"/>
      <c r="R131" s="17">
        <f>IF(Q131="","",Q131-TODAY())</f>
        <v/>
      </c>
      <c r="S131" s="20" t="n"/>
      <c r="T131" s="18">
        <f>IF(OR(S131="",N131&lt;&gt;"Paying"),"",IFERROR(INDEX(Plans!$B$2:$B$20,MATCH(S131,Plans!$A$2:$A$20,0)),""))</f>
        <v/>
      </c>
      <c r="U131" s="24" t="n"/>
    </row>
    <row r="132">
      <c r="A132" s="20" t="n"/>
      <c r="B132" s="20" t="n"/>
      <c r="C132" s="20" t="n"/>
      <c r="D132" s="20" t="n"/>
      <c r="E132" s="20" t="n"/>
      <c r="F132" s="20" t="n"/>
      <c r="G132" s="20" t="n"/>
      <c r="H132" s="21" t="n"/>
      <c r="I132" s="20" t="n"/>
      <c r="J132" s="20" t="n"/>
      <c r="K132" s="22" t="n"/>
      <c r="L132" s="20" t="n"/>
      <c r="M132" s="15">
        <f>IF(L132="","",IF(OR(L132="Voicemail",L132="No answer"),"High",IF(L132="Answering service","Medium","Low")))</f>
        <v/>
      </c>
      <c r="N132" s="20" t="n"/>
      <c r="O132" s="23" t="n"/>
      <c r="P132" s="20" t="n"/>
      <c r="Q132" s="23" t="n"/>
      <c r="R132" s="17">
        <f>IF(Q132="","",Q132-TODAY())</f>
        <v/>
      </c>
      <c r="S132" s="20" t="n"/>
      <c r="T132" s="18">
        <f>IF(OR(S132="",N132&lt;&gt;"Paying"),"",IFERROR(INDEX(Plans!$B$2:$B$20,MATCH(S132,Plans!$A$2:$A$20,0)),""))</f>
        <v/>
      </c>
      <c r="U132" s="24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1" t="n"/>
      <c r="I133" s="20" t="n"/>
      <c r="J133" s="20" t="n"/>
      <c r="K133" s="22" t="n"/>
      <c r="L133" s="20" t="n"/>
      <c r="M133" s="15">
        <f>IF(L133="","",IF(OR(L133="Voicemail",L133="No answer"),"High",IF(L133="Answering service","Medium","Low")))</f>
        <v/>
      </c>
      <c r="N133" s="20" t="n"/>
      <c r="O133" s="23" t="n"/>
      <c r="P133" s="20" t="n"/>
      <c r="Q133" s="23" t="n"/>
      <c r="R133" s="17">
        <f>IF(Q133="","",Q133-TODAY())</f>
        <v/>
      </c>
      <c r="S133" s="20" t="n"/>
      <c r="T133" s="18">
        <f>IF(OR(S133="",N133&lt;&gt;"Paying"),"",IFERROR(INDEX(Plans!$B$2:$B$20,MATCH(S133,Plans!$A$2:$A$20,0)),""))</f>
        <v/>
      </c>
      <c r="U133" s="24" t="n"/>
    </row>
    <row r="134">
      <c r="A134" s="20" t="n"/>
      <c r="B134" s="20" t="n"/>
      <c r="C134" s="20" t="n"/>
      <c r="D134" s="20" t="n"/>
      <c r="E134" s="20" t="n"/>
      <c r="F134" s="20" t="n"/>
      <c r="G134" s="20" t="n"/>
      <c r="H134" s="21" t="n"/>
      <c r="I134" s="20" t="n"/>
      <c r="J134" s="20" t="n"/>
      <c r="K134" s="22" t="n"/>
      <c r="L134" s="20" t="n"/>
      <c r="M134" s="15">
        <f>IF(L134="","",IF(OR(L134="Voicemail",L134="No answer"),"High",IF(L134="Answering service","Medium","Low")))</f>
        <v/>
      </c>
      <c r="N134" s="20" t="n"/>
      <c r="O134" s="23" t="n"/>
      <c r="P134" s="20" t="n"/>
      <c r="Q134" s="23" t="n"/>
      <c r="R134" s="17">
        <f>IF(Q134="","",Q134-TODAY())</f>
        <v/>
      </c>
      <c r="S134" s="20" t="n"/>
      <c r="T134" s="18">
        <f>IF(OR(S134="",N134&lt;&gt;"Paying"),"",IFERROR(INDEX(Plans!$B$2:$B$20,MATCH(S134,Plans!$A$2:$A$20,0)),""))</f>
        <v/>
      </c>
      <c r="U134" s="24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1" t="n"/>
      <c r="I135" s="20" t="n"/>
      <c r="J135" s="20" t="n"/>
      <c r="K135" s="22" t="n"/>
      <c r="L135" s="20" t="n"/>
      <c r="M135" s="15">
        <f>IF(L135="","",IF(OR(L135="Voicemail",L135="No answer"),"High",IF(L135="Answering service","Medium","Low")))</f>
        <v/>
      </c>
      <c r="N135" s="20" t="n"/>
      <c r="O135" s="23" t="n"/>
      <c r="P135" s="20" t="n"/>
      <c r="Q135" s="23" t="n"/>
      <c r="R135" s="17">
        <f>IF(Q135="","",Q135-TODAY())</f>
        <v/>
      </c>
      <c r="S135" s="20" t="n"/>
      <c r="T135" s="18">
        <f>IF(OR(S135="",N135&lt;&gt;"Paying"),"",IFERROR(INDEX(Plans!$B$2:$B$20,MATCH(S135,Plans!$A$2:$A$20,0)),""))</f>
        <v/>
      </c>
      <c r="U135" s="24" t="n"/>
    </row>
    <row r="136">
      <c r="A136" s="20" t="n"/>
      <c r="B136" s="20" t="n"/>
      <c r="C136" s="20" t="n"/>
      <c r="D136" s="20" t="n"/>
      <c r="E136" s="20" t="n"/>
      <c r="F136" s="20" t="n"/>
      <c r="G136" s="20" t="n"/>
      <c r="H136" s="21" t="n"/>
      <c r="I136" s="20" t="n"/>
      <c r="J136" s="20" t="n"/>
      <c r="K136" s="22" t="n"/>
      <c r="L136" s="20" t="n"/>
      <c r="M136" s="15">
        <f>IF(L136="","",IF(OR(L136="Voicemail",L136="No answer"),"High",IF(L136="Answering service","Medium","Low")))</f>
        <v/>
      </c>
      <c r="N136" s="20" t="n"/>
      <c r="O136" s="23" t="n"/>
      <c r="P136" s="20" t="n"/>
      <c r="Q136" s="23" t="n"/>
      <c r="R136" s="17">
        <f>IF(Q136="","",Q136-TODAY())</f>
        <v/>
      </c>
      <c r="S136" s="20" t="n"/>
      <c r="T136" s="18">
        <f>IF(OR(S136="",N136&lt;&gt;"Paying"),"",IFERROR(INDEX(Plans!$B$2:$B$20,MATCH(S136,Plans!$A$2:$A$20,0)),""))</f>
        <v/>
      </c>
      <c r="U136" s="24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1" t="n"/>
      <c r="I137" s="20" t="n"/>
      <c r="J137" s="20" t="n"/>
      <c r="K137" s="22" t="n"/>
      <c r="L137" s="20" t="n"/>
      <c r="M137" s="15">
        <f>IF(L137="","",IF(OR(L137="Voicemail",L137="No answer"),"High",IF(L137="Answering service","Medium","Low")))</f>
        <v/>
      </c>
      <c r="N137" s="20" t="n"/>
      <c r="O137" s="23" t="n"/>
      <c r="P137" s="20" t="n"/>
      <c r="Q137" s="23" t="n"/>
      <c r="R137" s="17">
        <f>IF(Q137="","",Q137-TODAY())</f>
        <v/>
      </c>
      <c r="S137" s="20" t="n"/>
      <c r="T137" s="18">
        <f>IF(OR(S137="",N137&lt;&gt;"Paying"),"",IFERROR(INDEX(Plans!$B$2:$B$20,MATCH(S137,Plans!$A$2:$A$20,0)),""))</f>
        <v/>
      </c>
      <c r="U137" s="24" t="n"/>
    </row>
    <row r="138">
      <c r="A138" s="20" t="n"/>
      <c r="B138" s="20" t="n"/>
      <c r="C138" s="20" t="n"/>
      <c r="D138" s="20" t="n"/>
      <c r="E138" s="20" t="n"/>
      <c r="F138" s="20" t="n"/>
      <c r="G138" s="20" t="n"/>
      <c r="H138" s="21" t="n"/>
      <c r="I138" s="20" t="n"/>
      <c r="J138" s="20" t="n"/>
      <c r="K138" s="22" t="n"/>
      <c r="L138" s="20" t="n"/>
      <c r="M138" s="15">
        <f>IF(L138="","",IF(OR(L138="Voicemail",L138="No answer"),"High",IF(L138="Answering service","Medium","Low")))</f>
        <v/>
      </c>
      <c r="N138" s="20" t="n"/>
      <c r="O138" s="23" t="n"/>
      <c r="P138" s="20" t="n"/>
      <c r="Q138" s="23" t="n"/>
      <c r="R138" s="17">
        <f>IF(Q138="","",Q138-TODAY())</f>
        <v/>
      </c>
      <c r="S138" s="20" t="n"/>
      <c r="T138" s="18">
        <f>IF(OR(S138="",N138&lt;&gt;"Paying"),"",IFERROR(INDEX(Plans!$B$2:$B$20,MATCH(S138,Plans!$A$2:$A$20,0)),""))</f>
        <v/>
      </c>
      <c r="U138" s="24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1" t="n"/>
      <c r="I139" s="20" t="n"/>
      <c r="J139" s="20" t="n"/>
      <c r="K139" s="22" t="n"/>
      <c r="L139" s="20" t="n"/>
      <c r="M139" s="15">
        <f>IF(L139="","",IF(OR(L139="Voicemail",L139="No answer"),"High",IF(L139="Answering service","Medium","Low")))</f>
        <v/>
      </c>
      <c r="N139" s="20" t="n"/>
      <c r="O139" s="23" t="n"/>
      <c r="P139" s="20" t="n"/>
      <c r="Q139" s="23" t="n"/>
      <c r="R139" s="17">
        <f>IF(Q139="","",Q139-TODAY())</f>
        <v/>
      </c>
      <c r="S139" s="20" t="n"/>
      <c r="T139" s="18">
        <f>IF(OR(S139="",N139&lt;&gt;"Paying"),"",IFERROR(INDEX(Plans!$B$2:$B$20,MATCH(S139,Plans!$A$2:$A$20,0)),""))</f>
        <v/>
      </c>
      <c r="U139" s="24" t="n"/>
    </row>
    <row r="140">
      <c r="A140" s="20" t="n"/>
      <c r="B140" s="20" t="n"/>
      <c r="C140" s="20" t="n"/>
      <c r="D140" s="20" t="n"/>
      <c r="E140" s="20" t="n"/>
      <c r="F140" s="20" t="n"/>
      <c r="G140" s="20" t="n"/>
      <c r="H140" s="21" t="n"/>
      <c r="I140" s="20" t="n"/>
      <c r="J140" s="20" t="n"/>
      <c r="K140" s="22" t="n"/>
      <c r="L140" s="20" t="n"/>
      <c r="M140" s="15">
        <f>IF(L140="","",IF(OR(L140="Voicemail",L140="No answer"),"High",IF(L140="Answering service","Medium","Low")))</f>
        <v/>
      </c>
      <c r="N140" s="20" t="n"/>
      <c r="O140" s="23" t="n"/>
      <c r="P140" s="20" t="n"/>
      <c r="Q140" s="23" t="n"/>
      <c r="R140" s="17">
        <f>IF(Q140="","",Q140-TODAY())</f>
        <v/>
      </c>
      <c r="S140" s="20" t="n"/>
      <c r="T140" s="18">
        <f>IF(OR(S140="",N140&lt;&gt;"Paying"),"",IFERROR(INDEX(Plans!$B$2:$B$20,MATCH(S140,Plans!$A$2:$A$20,0)),""))</f>
        <v/>
      </c>
      <c r="U140" s="24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1" t="n"/>
      <c r="I141" s="20" t="n"/>
      <c r="J141" s="20" t="n"/>
      <c r="K141" s="22" t="n"/>
      <c r="L141" s="20" t="n"/>
      <c r="M141" s="15">
        <f>IF(L141="","",IF(OR(L141="Voicemail",L141="No answer"),"High",IF(L141="Answering service","Medium","Low")))</f>
        <v/>
      </c>
      <c r="N141" s="20" t="n"/>
      <c r="O141" s="23" t="n"/>
      <c r="P141" s="20" t="n"/>
      <c r="Q141" s="23" t="n"/>
      <c r="R141" s="17">
        <f>IF(Q141="","",Q141-TODAY())</f>
        <v/>
      </c>
      <c r="S141" s="20" t="n"/>
      <c r="T141" s="18">
        <f>IF(OR(S141="",N141&lt;&gt;"Paying"),"",IFERROR(INDEX(Plans!$B$2:$B$20,MATCH(S141,Plans!$A$2:$A$20,0)),""))</f>
        <v/>
      </c>
      <c r="U141" s="24" t="n"/>
    </row>
    <row r="142">
      <c r="A142" s="20" t="n"/>
      <c r="B142" s="20" t="n"/>
      <c r="C142" s="20" t="n"/>
      <c r="D142" s="20" t="n"/>
      <c r="E142" s="20" t="n"/>
      <c r="F142" s="20" t="n"/>
      <c r="G142" s="20" t="n"/>
      <c r="H142" s="21" t="n"/>
      <c r="I142" s="20" t="n"/>
      <c r="J142" s="20" t="n"/>
      <c r="K142" s="22" t="n"/>
      <c r="L142" s="20" t="n"/>
      <c r="M142" s="15">
        <f>IF(L142="","",IF(OR(L142="Voicemail",L142="No answer"),"High",IF(L142="Answering service","Medium","Low")))</f>
        <v/>
      </c>
      <c r="N142" s="20" t="n"/>
      <c r="O142" s="23" t="n"/>
      <c r="P142" s="20" t="n"/>
      <c r="Q142" s="23" t="n"/>
      <c r="R142" s="17">
        <f>IF(Q142="","",Q142-TODAY())</f>
        <v/>
      </c>
      <c r="S142" s="20" t="n"/>
      <c r="T142" s="18">
        <f>IF(OR(S142="",N142&lt;&gt;"Paying"),"",IFERROR(INDEX(Plans!$B$2:$B$20,MATCH(S142,Plans!$A$2:$A$20,0)),""))</f>
        <v/>
      </c>
      <c r="U142" s="24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1" t="n"/>
      <c r="I143" s="20" t="n"/>
      <c r="J143" s="20" t="n"/>
      <c r="K143" s="22" t="n"/>
      <c r="L143" s="20" t="n"/>
      <c r="M143" s="15">
        <f>IF(L143="","",IF(OR(L143="Voicemail",L143="No answer"),"High",IF(L143="Answering service","Medium","Low")))</f>
        <v/>
      </c>
      <c r="N143" s="20" t="n"/>
      <c r="O143" s="23" t="n"/>
      <c r="P143" s="20" t="n"/>
      <c r="Q143" s="23" t="n"/>
      <c r="R143" s="17">
        <f>IF(Q143="","",Q143-TODAY())</f>
        <v/>
      </c>
      <c r="S143" s="20" t="n"/>
      <c r="T143" s="18">
        <f>IF(OR(S143="",N143&lt;&gt;"Paying"),"",IFERROR(INDEX(Plans!$B$2:$B$20,MATCH(S143,Plans!$A$2:$A$20,0)),""))</f>
        <v/>
      </c>
      <c r="U143" s="24" t="n"/>
    </row>
    <row r="144">
      <c r="A144" s="20" t="n"/>
      <c r="B144" s="20" t="n"/>
      <c r="C144" s="20" t="n"/>
      <c r="D144" s="20" t="n"/>
      <c r="E144" s="20" t="n"/>
      <c r="F144" s="20" t="n"/>
      <c r="G144" s="20" t="n"/>
      <c r="H144" s="21" t="n"/>
      <c r="I144" s="20" t="n"/>
      <c r="J144" s="20" t="n"/>
      <c r="K144" s="22" t="n"/>
      <c r="L144" s="20" t="n"/>
      <c r="M144" s="15">
        <f>IF(L144="","",IF(OR(L144="Voicemail",L144="No answer"),"High",IF(L144="Answering service","Medium","Low")))</f>
        <v/>
      </c>
      <c r="N144" s="20" t="n"/>
      <c r="O144" s="23" t="n"/>
      <c r="P144" s="20" t="n"/>
      <c r="Q144" s="23" t="n"/>
      <c r="R144" s="17">
        <f>IF(Q144="","",Q144-TODAY())</f>
        <v/>
      </c>
      <c r="S144" s="20" t="n"/>
      <c r="T144" s="18">
        <f>IF(OR(S144="",N144&lt;&gt;"Paying"),"",IFERROR(INDEX(Plans!$B$2:$B$20,MATCH(S144,Plans!$A$2:$A$20,0)),""))</f>
        <v/>
      </c>
      <c r="U144" s="24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1" t="n"/>
      <c r="I145" s="20" t="n"/>
      <c r="J145" s="20" t="n"/>
      <c r="K145" s="22" t="n"/>
      <c r="L145" s="20" t="n"/>
      <c r="M145" s="15">
        <f>IF(L145="","",IF(OR(L145="Voicemail",L145="No answer"),"High",IF(L145="Answering service","Medium","Low")))</f>
        <v/>
      </c>
      <c r="N145" s="20" t="n"/>
      <c r="O145" s="23" t="n"/>
      <c r="P145" s="20" t="n"/>
      <c r="Q145" s="23" t="n"/>
      <c r="R145" s="17">
        <f>IF(Q145="","",Q145-TODAY())</f>
        <v/>
      </c>
      <c r="S145" s="20" t="n"/>
      <c r="T145" s="18">
        <f>IF(OR(S145="",N145&lt;&gt;"Paying"),"",IFERROR(INDEX(Plans!$B$2:$B$20,MATCH(S145,Plans!$A$2:$A$20,0)),""))</f>
        <v/>
      </c>
      <c r="U145" s="24" t="n"/>
    </row>
    <row r="146">
      <c r="A146" s="20" t="n"/>
      <c r="B146" s="20" t="n"/>
      <c r="C146" s="20" t="n"/>
      <c r="D146" s="20" t="n"/>
      <c r="E146" s="20" t="n"/>
      <c r="F146" s="20" t="n"/>
      <c r="G146" s="20" t="n"/>
      <c r="H146" s="21" t="n"/>
      <c r="I146" s="20" t="n"/>
      <c r="J146" s="20" t="n"/>
      <c r="K146" s="22" t="n"/>
      <c r="L146" s="20" t="n"/>
      <c r="M146" s="15">
        <f>IF(L146="","",IF(OR(L146="Voicemail",L146="No answer"),"High",IF(L146="Answering service","Medium","Low")))</f>
        <v/>
      </c>
      <c r="N146" s="20" t="n"/>
      <c r="O146" s="23" t="n"/>
      <c r="P146" s="20" t="n"/>
      <c r="Q146" s="23" t="n"/>
      <c r="R146" s="17">
        <f>IF(Q146="","",Q146-TODAY())</f>
        <v/>
      </c>
      <c r="S146" s="20" t="n"/>
      <c r="T146" s="18">
        <f>IF(OR(S146="",N146&lt;&gt;"Paying"),"",IFERROR(INDEX(Plans!$B$2:$B$20,MATCH(S146,Plans!$A$2:$A$20,0)),""))</f>
        <v/>
      </c>
      <c r="U146" s="24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1" t="n"/>
      <c r="I147" s="20" t="n"/>
      <c r="J147" s="20" t="n"/>
      <c r="K147" s="22" t="n"/>
      <c r="L147" s="20" t="n"/>
      <c r="M147" s="15">
        <f>IF(L147="","",IF(OR(L147="Voicemail",L147="No answer"),"High",IF(L147="Answering service","Medium","Low")))</f>
        <v/>
      </c>
      <c r="N147" s="20" t="n"/>
      <c r="O147" s="23" t="n"/>
      <c r="P147" s="20" t="n"/>
      <c r="Q147" s="23" t="n"/>
      <c r="R147" s="17">
        <f>IF(Q147="","",Q147-TODAY())</f>
        <v/>
      </c>
      <c r="S147" s="20" t="n"/>
      <c r="T147" s="18">
        <f>IF(OR(S147="",N147&lt;&gt;"Paying"),"",IFERROR(INDEX(Plans!$B$2:$B$20,MATCH(S147,Plans!$A$2:$A$20,0)),""))</f>
        <v/>
      </c>
      <c r="U147" s="24" t="n"/>
    </row>
    <row r="148">
      <c r="A148" s="20" t="n"/>
      <c r="B148" s="20" t="n"/>
      <c r="C148" s="20" t="n"/>
      <c r="D148" s="20" t="n"/>
      <c r="E148" s="20" t="n"/>
      <c r="F148" s="20" t="n"/>
      <c r="G148" s="20" t="n"/>
      <c r="H148" s="21" t="n"/>
      <c r="I148" s="20" t="n"/>
      <c r="J148" s="20" t="n"/>
      <c r="K148" s="22" t="n"/>
      <c r="L148" s="20" t="n"/>
      <c r="M148" s="15">
        <f>IF(L148="","",IF(OR(L148="Voicemail",L148="No answer"),"High",IF(L148="Answering service","Medium","Low")))</f>
        <v/>
      </c>
      <c r="N148" s="20" t="n"/>
      <c r="O148" s="23" t="n"/>
      <c r="P148" s="20" t="n"/>
      <c r="Q148" s="23" t="n"/>
      <c r="R148" s="17">
        <f>IF(Q148="","",Q148-TODAY())</f>
        <v/>
      </c>
      <c r="S148" s="20" t="n"/>
      <c r="T148" s="18">
        <f>IF(OR(S148="",N148&lt;&gt;"Paying"),"",IFERROR(INDEX(Plans!$B$2:$B$20,MATCH(S148,Plans!$A$2:$A$20,0)),""))</f>
        <v/>
      </c>
      <c r="U148" s="24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1" t="n"/>
      <c r="I149" s="20" t="n"/>
      <c r="J149" s="20" t="n"/>
      <c r="K149" s="22" t="n"/>
      <c r="L149" s="20" t="n"/>
      <c r="M149" s="15">
        <f>IF(L149="","",IF(OR(L149="Voicemail",L149="No answer"),"High",IF(L149="Answering service","Medium","Low")))</f>
        <v/>
      </c>
      <c r="N149" s="20" t="n"/>
      <c r="O149" s="23" t="n"/>
      <c r="P149" s="20" t="n"/>
      <c r="Q149" s="23" t="n"/>
      <c r="R149" s="17">
        <f>IF(Q149="","",Q149-TODAY())</f>
        <v/>
      </c>
      <c r="S149" s="20" t="n"/>
      <c r="T149" s="18">
        <f>IF(OR(S149="",N149&lt;&gt;"Paying"),"",IFERROR(INDEX(Plans!$B$2:$B$20,MATCH(S149,Plans!$A$2:$A$20,0)),""))</f>
        <v/>
      </c>
      <c r="U149" s="24" t="n"/>
    </row>
    <row r="150">
      <c r="A150" s="20" t="n"/>
      <c r="B150" s="20" t="n"/>
      <c r="C150" s="20" t="n"/>
      <c r="D150" s="20" t="n"/>
      <c r="E150" s="20" t="n"/>
      <c r="F150" s="20" t="n"/>
      <c r="G150" s="20" t="n"/>
      <c r="H150" s="21" t="n"/>
      <c r="I150" s="20" t="n"/>
      <c r="J150" s="20" t="n"/>
      <c r="K150" s="22" t="n"/>
      <c r="L150" s="20" t="n"/>
      <c r="M150" s="15">
        <f>IF(L150="","",IF(OR(L150="Voicemail",L150="No answer"),"High",IF(L150="Answering service","Medium","Low")))</f>
        <v/>
      </c>
      <c r="N150" s="20" t="n"/>
      <c r="O150" s="23" t="n"/>
      <c r="P150" s="20" t="n"/>
      <c r="Q150" s="23" t="n"/>
      <c r="R150" s="17">
        <f>IF(Q150="","",Q150-TODAY())</f>
        <v/>
      </c>
      <c r="S150" s="20" t="n"/>
      <c r="T150" s="18">
        <f>IF(OR(S150="",N150&lt;&gt;"Paying"),"",IFERROR(INDEX(Plans!$B$2:$B$20,MATCH(S150,Plans!$A$2:$A$20,0)),""))</f>
        <v/>
      </c>
      <c r="U150" s="24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1" t="n"/>
      <c r="I151" s="20" t="n"/>
      <c r="J151" s="20" t="n"/>
      <c r="K151" s="22" t="n"/>
      <c r="L151" s="20" t="n"/>
      <c r="M151" s="15">
        <f>IF(L151="","",IF(OR(L151="Voicemail",L151="No answer"),"High",IF(L151="Answering service","Medium","Low")))</f>
        <v/>
      </c>
      <c r="N151" s="20" t="n"/>
      <c r="O151" s="23" t="n"/>
      <c r="P151" s="20" t="n"/>
      <c r="Q151" s="23" t="n"/>
      <c r="R151" s="17">
        <f>IF(Q151="","",Q151-TODAY())</f>
        <v/>
      </c>
      <c r="S151" s="20" t="n"/>
      <c r="T151" s="18">
        <f>IF(OR(S151="",N151&lt;&gt;"Paying"),"",IFERROR(INDEX(Plans!$B$2:$B$20,MATCH(S151,Plans!$A$2:$A$20,0)),""))</f>
        <v/>
      </c>
      <c r="U151" s="24" t="n"/>
    </row>
    <row r="152">
      <c r="A152" s="20" t="n"/>
      <c r="B152" s="20" t="n"/>
      <c r="C152" s="20" t="n"/>
      <c r="D152" s="20" t="n"/>
      <c r="E152" s="20" t="n"/>
      <c r="F152" s="20" t="n"/>
      <c r="G152" s="20" t="n"/>
      <c r="H152" s="21" t="n"/>
      <c r="I152" s="20" t="n"/>
      <c r="J152" s="20" t="n"/>
      <c r="K152" s="22" t="n"/>
      <c r="L152" s="20" t="n"/>
      <c r="M152" s="15">
        <f>IF(L152="","",IF(OR(L152="Voicemail",L152="No answer"),"High",IF(L152="Answering service","Medium","Low")))</f>
        <v/>
      </c>
      <c r="N152" s="20" t="n"/>
      <c r="O152" s="23" t="n"/>
      <c r="P152" s="20" t="n"/>
      <c r="Q152" s="23" t="n"/>
      <c r="R152" s="17">
        <f>IF(Q152="","",Q152-TODAY())</f>
        <v/>
      </c>
      <c r="S152" s="20" t="n"/>
      <c r="T152" s="18">
        <f>IF(OR(S152="",N152&lt;&gt;"Paying"),"",IFERROR(INDEX(Plans!$B$2:$B$20,MATCH(S152,Plans!$A$2:$A$20,0)),""))</f>
        <v/>
      </c>
      <c r="U152" s="24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1" t="n"/>
      <c r="I153" s="20" t="n"/>
      <c r="J153" s="20" t="n"/>
      <c r="K153" s="22" t="n"/>
      <c r="L153" s="20" t="n"/>
      <c r="M153" s="15">
        <f>IF(L153="","",IF(OR(L153="Voicemail",L153="No answer"),"High",IF(L153="Answering service","Medium","Low")))</f>
        <v/>
      </c>
      <c r="N153" s="20" t="n"/>
      <c r="O153" s="23" t="n"/>
      <c r="P153" s="20" t="n"/>
      <c r="Q153" s="23" t="n"/>
      <c r="R153" s="17">
        <f>IF(Q153="","",Q153-TODAY())</f>
        <v/>
      </c>
      <c r="S153" s="20" t="n"/>
      <c r="T153" s="18">
        <f>IF(OR(S153="",N153&lt;&gt;"Paying"),"",IFERROR(INDEX(Plans!$B$2:$B$20,MATCH(S153,Plans!$A$2:$A$20,0)),""))</f>
        <v/>
      </c>
      <c r="U153" s="24" t="n"/>
    </row>
    <row r="154">
      <c r="A154" s="20" t="n"/>
      <c r="B154" s="20" t="n"/>
      <c r="C154" s="20" t="n"/>
      <c r="D154" s="20" t="n"/>
      <c r="E154" s="20" t="n"/>
      <c r="F154" s="20" t="n"/>
      <c r="G154" s="20" t="n"/>
      <c r="H154" s="21" t="n"/>
      <c r="I154" s="20" t="n"/>
      <c r="J154" s="20" t="n"/>
      <c r="K154" s="22" t="n"/>
      <c r="L154" s="20" t="n"/>
      <c r="M154" s="15">
        <f>IF(L154="","",IF(OR(L154="Voicemail",L154="No answer"),"High",IF(L154="Answering service","Medium","Low")))</f>
        <v/>
      </c>
      <c r="N154" s="20" t="n"/>
      <c r="O154" s="23" t="n"/>
      <c r="P154" s="20" t="n"/>
      <c r="Q154" s="23" t="n"/>
      <c r="R154" s="17">
        <f>IF(Q154="","",Q154-TODAY())</f>
        <v/>
      </c>
      <c r="S154" s="20" t="n"/>
      <c r="T154" s="18">
        <f>IF(OR(S154="",N154&lt;&gt;"Paying"),"",IFERROR(INDEX(Plans!$B$2:$B$20,MATCH(S154,Plans!$A$2:$A$20,0)),""))</f>
        <v/>
      </c>
      <c r="U154" s="24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1" t="n"/>
      <c r="I155" s="20" t="n"/>
      <c r="J155" s="20" t="n"/>
      <c r="K155" s="22" t="n"/>
      <c r="L155" s="20" t="n"/>
      <c r="M155" s="15">
        <f>IF(L155="","",IF(OR(L155="Voicemail",L155="No answer"),"High",IF(L155="Answering service","Medium","Low")))</f>
        <v/>
      </c>
      <c r="N155" s="20" t="n"/>
      <c r="O155" s="23" t="n"/>
      <c r="P155" s="20" t="n"/>
      <c r="Q155" s="23" t="n"/>
      <c r="R155" s="17">
        <f>IF(Q155="","",Q155-TODAY())</f>
        <v/>
      </c>
      <c r="S155" s="20" t="n"/>
      <c r="T155" s="18">
        <f>IF(OR(S155="",N155&lt;&gt;"Paying"),"",IFERROR(INDEX(Plans!$B$2:$B$20,MATCH(S155,Plans!$A$2:$A$20,0)),""))</f>
        <v/>
      </c>
      <c r="U155" s="24" t="n"/>
    </row>
    <row r="156">
      <c r="A156" s="20" t="n"/>
      <c r="B156" s="20" t="n"/>
      <c r="C156" s="20" t="n"/>
      <c r="D156" s="20" t="n"/>
      <c r="E156" s="20" t="n"/>
      <c r="F156" s="20" t="n"/>
      <c r="G156" s="20" t="n"/>
      <c r="H156" s="21" t="n"/>
      <c r="I156" s="20" t="n"/>
      <c r="J156" s="20" t="n"/>
      <c r="K156" s="22" t="n"/>
      <c r="L156" s="20" t="n"/>
      <c r="M156" s="15">
        <f>IF(L156="","",IF(OR(L156="Voicemail",L156="No answer"),"High",IF(L156="Answering service","Medium","Low")))</f>
        <v/>
      </c>
      <c r="N156" s="20" t="n"/>
      <c r="O156" s="23" t="n"/>
      <c r="P156" s="20" t="n"/>
      <c r="Q156" s="23" t="n"/>
      <c r="R156" s="17">
        <f>IF(Q156="","",Q156-TODAY())</f>
        <v/>
      </c>
      <c r="S156" s="20" t="n"/>
      <c r="T156" s="18">
        <f>IF(OR(S156="",N156&lt;&gt;"Paying"),"",IFERROR(INDEX(Plans!$B$2:$B$20,MATCH(S156,Plans!$A$2:$A$20,0)),""))</f>
        <v/>
      </c>
      <c r="U156" s="24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1" t="n"/>
      <c r="I157" s="20" t="n"/>
      <c r="J157" s="20" t="n"/>
      <c r="K157" s="22" t="n"/>
      <c r="L157" s="20" t="n"/>
      <c r="M157" s="15">
        <f>IF(L157="","",IF(OR(L157="Voicemail",L157="No answer"),"High",IF(L157="Answering service","Medium","Low")))</f>
        <v/>
      </c>
      <c r="N157" s="20" t="n"/>
      <c r="O157" s="23" t="n"/>
      <c r="P157" s="20" t="n"/>
      <c r="Q157" s="23" t="n"/>
      <c r="R157" s="17">
        <f>IF(Q157="","",Q157-TODAY())</f>
        <v/>
      </c>
      <c r="S157" s="20" t="n"/>
      <c r="T157" s="18">
        <f>IF(OR(S157="",N157&lt;&gt;"Paying"),"",IFERROR(INDEX(Plans!$B$2:$B$20,MATCH(S157,Plans!$A$2:$A$20,0)),""))</f>
        <v/>
      </c>
      <c r="U157" s="24" t="n"/>
    </row>
    <row r="158">
      <c r="A158" s="20" t="n"/>
      <c r="B158" s="20" t="n"/>
      <c r="C158" s="20" t="n"/>
      <c r="D158" s="20" t="n"/>
      <c r="E158" s="20" t="n"/>
      <c r="F158" s="20" t="n"/>
      <c r="G158" s="20" t="n"/>
      <c r="H158" s="21" t="n"/>
      <c r="I158" s="20" t="n"/>
      <c r="J158" s="20" t="n"/>
      <c r="K158" s="22" t="n"/>
      <c r="L158" s="20" t="n"/>
      <c r="M158" s="15">
        <f>IF(L158="","",IF(OR(L158="Voicemail",L158="No answer"),"High",IF(L158="Answering service","Medium","Low")))</f>
        <v/>
      </c>
      <c r="N158" s="20" t="n"/>
      <c r="O158" s="23" t="n"/>
      <c r="P158" s="20" t="n"/>
      <c r="Q158" s="23" t="n"/>
      <c r="R158" s="17">
        <f>IF(Q158="","",Q158-TODAY())</f>
        <v/>
      </c>
      <c r="S158" s="20" t="n"/>
      <c r="T158" s="18">
        <f>IF(OR(S158="",N158&lt;&gt;"Paying"),"",IFERROR(INDEX(Plans!$B$2:$B$20,MATCH(S158,Plans!$A$2:$A$20,0)),""))</f>
        <v/>
      </c>
      <c r="U158" s="24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1" t="n"/>
      <c r="I159" s="20" t="n"/>
      <c r="J159" s="20" t="n"/>
      <c r="K159" s="22" t="n"/>
      <c r="L159" s="20" t="n"/>
      <c r="M159" s="15">
        <f>IF(L159="","",IF(OR(L159="Voicemail",L159="No answer"),"High",IF(L159="Answering service","Medium","Low")))</f>
        <v/>
      </c>
      <c r="N159" s="20" t="n"/>
      <c r="O159" s="23" t="n"/>
      <c r="P159" s="20" t="n"/>
      <c r="Q159" s="23" t="n"/>
      <c r="R159" s="17">
        <f>IF(Q159="","",Q159-TODAY())</f>
        <v/>
      </c>
      <c r="S159" s="20" t="n"/>
      <c r="T159" s="18">
        <f>IF(OR(S159="",N159&lt;&gt;"Paying"),"",IFERROR(INDEX(Plans!$B$2:$B$20,MATCH(S159,Plans!$A$2:$A$20,0)),""))</f>
        <v/>
      </c>
      <c r="U159" s="24" t="n"/>
    </row>
    <row r="160">
      <c r="A160" s="20" t="n"/>
      <c r="B160" s="20" t="n"/>
      <c r="C160" s="20" t="n"/>
      <c r="D160" s="20" t="n"/>
      <c r="E160" s="20" t="n"/>
      <c r="F160" s="20" t="n"/>
      <c r="G160" s="20" t="n"/>
      <c r="H160" s="21" t="n"/>
      <c r="I160" s="20" t="n"/>
      <c r="J160" s="20" t="n"/>
      <c r="K160" s="22" t="n"/>
      <c r="L160" s="20" t="n"/>
      <c r="M160" s="15">
        <f>IF(L160="","",IF(OR(L160="Voicemail",L160="No answer"),"High",IF(L160="Answering service","Medium","Low")))</f>
        <v/>
      </c>
      <c r="N160" s="20" t="n"/>
      <c r="O160" s="23" t="n"/>
      <c r="P160" s="20" t="n"/>
      <c r="Q160" s="23" t="n"/>
      <c r="R160" s="17">
        <f>IF(Q160="","",Q160-TODAY())</f>
        <v/>
      </c>
      <c r="S160" s="20" t="n"/>
      <c r="T160" s="18">
        <f>IF(OR(S160="",N160&lt;&gt;"Paying"),"",IFERROR(INDEX(Plans!$B$2:$B$20,MATCH(S160,Plans!$A$2:$A$20,0)),""))</f>
        <v/>
      </c>
      <c r="U160" s="24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1" t="n"/>
      <c r="I161" s="20" t="n"/>
      <c r="J161" s="20" t="n"/>
      <c r="K161" s="22" t="n"/>
      <c r="L161" s="20" t="n"/>
      <c r="M161" s="15">
        <f>IF(L161="","",IF(OR(L161="Voicemail",L161="No answer"),"High",IF(L161="Answering service","Medium","Low")))</f>
        <v/>
      </c>
      <c r="N161" s="20" t="n"/>
      <c r="O161" s="23" t="n"/>
      <c r="P161" s="20" t="n"/>
      <c r="Q161" s="23" t="n"/>
      <c r="R161" s="17">
        <f>IF(Q161="","",Q161-TODAY())</f>
        <v/>
      </c>
      <c r="S161" s="20" t="n"/>
      <c r="T161" s="18">
        <f>IF(OR(S161="",N161&lt;&gt;"Paying"),"",IFERROR(INDEX(Plans!$B$2:$B$20,MATCH(S161,Plans!$A$2:$A$20,0)),""))</f>
        <v/>
      </c>
      <c r="U161" s="24" t="n"/>
    </row>
    <row r="162">
      <c r="A162" s="20" t="n"/>
      <c r="B162" s="20" t="n"/>
      <c r="C162" s="20" t="n"/>
      <c r="D162" s="20" t="n"/>
      <c r="E162" s="20" t="n"/>
      <c r="F162" s="20" t="n"/>
      <c r="G162" s="20" t="n"/>
      <c r="H162" s="21" t="n"/>
      <c r="I162" s="20" t="n"/>
      <c r="J162" s="20" t="n"/>
      <c r="K162" s="22" t="n"/>
      <c r="L162" s="20" t="n"/>
      <c r="M162" s="15">
        <f>IF(L162="","",IF(OR(L162="Voicemail",L162="No answer"),"High",IF(L162="Answering service","Medium","Low")))</f>
        <v/>
      </c>
      <c r="N162" s="20" t="n"/>
      <c r="O162" s="23" t="n"/>
      <c r="P162" s="20" t="n"/>
      <c r="Q162" s="23" t="n"/>
      <c r="R162" s="17">
        <f>IF(Q162="","",Q162-TODAY())</f>
        <v/>
      </c>
      <c r="S162" s="20" t="n"/>
      <c r="T162" s="18">
        <f>IF(OR(S162="",N162&lt;&gt;"Paying"),"",IFERROR(INDEX(Plans!$B$2:$B$20,MATCH(S162,Plans!$A$2:$A$20,0)),""))</f>
        <v/>
      </c>
      <c r="U162" s="24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1" t="n"/>
      <c r="I163" s="20" t="n"/>
      <c r="J163" s="20" t="n"/>
      <c r="K163" s="22" t="n"/>
      <c r="L163" s="20" t="n"/>
      <c r="M163" s="15">
        <f>IF(L163="","",IF(OR(L163="Voicemail",L163="No answer"),"High",IF(L163="Answering service","Medium","Low")))</f>
        <v/>
      </c>
      <c r="N163" s="20" t="n"/>
      <c r="O163" s="23" t="n"/>
      <c r="P163" s="20" t="n"/>
      <c r="Q163" s="23" t="n"/>
      <c r="R163" s="17">
        <f>IF(Q163="","",Q163-TODAY())</f>
        <v/>
      </c>
      <c r="S163" s="20" t="n"/>
      <c r="T163" s="18">
        <f>IF(OR(S163="",N163&lt;&gt;"Paying"),"",IFERROR(INDEX(Plans!$B$2:$B$20,MATCH(S163,Plans!$A$2:$A$20,0)),""))</f>
        <v/>
      </c>
      <c r="U163" s="24" t="n"/>
    </row>
    <row r="164">
      <c r="A164" s="20" t="n"/>
      <c r="B164" s="20" t="n"/>
      <c r="C164" s="20" t="n"/>
      <c r="D164" s="20" t="n"/>
      <c r="E164" s="20" t="n"/>
      <c r="F164" s="20" t="n"/>
      <c r="G164" s="20" t="n"/>
      <c r="H164" s="21" t="n"/>
      <c r="I164" s="20" t="n"/>
      <c r="J164" s="20" t="n"/>
      <c r="K164" s="22" t="n"/>
      <c r="L164" s="20" t="n"/>
      <c r="M164" s="15">
        <f>IF(L164="","",IF(OR(L164="Voicemail",L164="No answer"),"High",IF(L164="Answering service","Medium","Low")))</f>
        <v/>
      </c>
      <c r="N164" s="20" t="n"/>
      <c r="O164" s="23" t="n"/>
      <c r="P164" s="20" t="n"/>
      <c r="Q164" s="23" t="n"/>
      <c r="R164" s="17">
        <f>IF(Q164="","",Q164-TODAY())</f>
        <v/>
      </c>
      <c r="S164" s="20" t="n"/>
      <c r="T164" s="18">
        <f>IF(OR(S164="",N164&lt;&gt;"Paying"),"",IFERROR(INDEX(Plans!$B$2:$B$20,MATCH(S164,Plans!$A$2:$A$20,0)),""))</f>
        <v/>
      </c>
      <c r="U164" s="24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1" t="n"/>
      <c r="I165" s="20" t="n"/>
      <c r="J165" s="20" t="n"/>
      <c r="K165" s="22" t="n"/>
      <c r="L165" s="20" t="n"/>
      <c r="M165" s="15">
        <f>IF(L165="","",IF(OR(L165="Voicemail",L165="No answer"),"High",IF(L165="Answering service","Medium","Low")))</f>
        <v/>
      </c>
      <c r="N165" s="20" t="n"/>
      <c r="O165" s="23" t="n"/>
      <c r="P165" s="20" t="n"/>
      <c r="Q165" s="23" t="n"/>
      <c r="R165" s="17">
        <f>IF(Q165="","",Q165-TODAY())</f>
        <v/>
      </c>
      <c r="S165" s="20" t="n"/>
      <c r="T165" s="18">
        <f>IF(OR(S165="",N165&lt;&gt;"Paying"),"",IFERROR(INDEX(Plans!$B$2:$B$20,MATCH(S165,Plans!$A$2:$A$20,0)),""))</f>
        <v/>
      </c>
      <c r="U165" s="24" t="n"/>
    </row>
    <row r="166">
      <c r="A166" s="20" t="n"/>
      <c r="B166" s="20" t="n"/>
      <c r="C166" s="20" t="n"/>
      <c r="D166" s="20" t="n"/>
      <c r="E166" s="20" t="n"/>
      <c r="F166" s="20" t="n"/>
      <c r="G166" s="20" t="n"/>
      <c r="H166" s="21" t="n"/>
      <c r="I166" s="20" t="n"/>
      <c r="J166" s="20" t="n"/>
      <c r="K166" s="22" t="n"/>
      <c r="L166" s="20" t="n"/>
      <c r="M166" s="15">
        <f>IF(L166="","",IF(OR(L166="Voicemail",L166="No answer"),"High",IF(L166="Answering service","Medium","Low")))</f>
        <v/>
      </c>
      <c r="N166" s="20" t="n"/>
      <c r="O166" s="23" t="n"/>
      <c r="P166" s="20" t="n"/>
      <c r="Q166" s="23" t="n"/>
      <c r="R166" s="17">
        <f>IF(Q166="","",Q166-TODAY())</f>
        <v/>
      </c>
      <c r="S166" s="20" t="n"/>
      <c r="T166" s="18">
        <f>IF(OR(S166="",N166&lt;&gt;"Paying"),"",IFERROR(INDEX(Plans!$B$2:$B$20,MATCH(S166,Plans!$A$2:$A$20,0)),""))</f>
        <v/>
      </c>
      <c r="U166" s="24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1" t="n"/>
      <c r="I167" s="20" t="n"/>
      <c r="J167" s="20" t="n"/>
      <c r="K167" s="22" t="n"/>
      <c r="L167" s="20" t="n"/>
      <c r="M167" s="15">
        <f>IF(L167="","",IF(OR(L167="Voicemail",L167="No answer"),"High",IF(L167="Answering service","Medium","Low")))</f>
        <v/>
      </c>
      <c r="N167" s="20" t="n"/>
      <c r="O167" s="23" t="n"/>
      <c r="P167" s="20" t="n"/>
      <c r="Q167" s="23" t="n"/>
      <c r="R167" s="17">
        <f>IF(Q167="","",Q167-TODAY())</f>
        <v/>
      </c>
      <c r="S167" s="20" t="n"/>
      <c r="T167" s="18">
        <f>IF(OR(S167="",N167&lt;&gt;"Paying"),"",IFERROR(INDEX(Plans!$B$2:$B$20,MATCH(S167,Plans!$A$2:$A$20,0)),""))</f>
        <v/>
      </c>
      <c r="U167" s="24" t="n"/>
    </row>
    <row r="168">
      <c r="A168" s="20" t="n"/>
      <c r="B168" s="20" t="n"/>
      <c r="C168" s="20" t="n"/>
      <c r="D168" s="20" t="n"/>
      <c r="E168" s="20" t="n"/>
      <c r="F168" s="20" t="n"/>
      <c r="G168" s="20" t="n"/>
      <c r="H168" s="21" t="n"/>
      <c r="I168" s="20" t="n"/>
      <c r="J168" s="20" t="n"/>
      <c r="K168" s="22" t="n"/>
      <c r="L168" s="20" t="n"/>
      <c r="M168" s="15">
        <f>IF(L168="","",IF(OR(L168="Voicemail",L168="No answer"),"High",IF(L168="Answering service","Medium","Low")))</f>
        <v/>
      </c>
      <c r="N168" s="20" t="n"/>
      <c r="O168" s="23" t="n"/>
      <c r="P168" s="20" t="n"/>
      <c r="Q168" s="23" t="n"/>
      <c r="R168" s="17">
        <f>IF(Q168="","",Q168-TODAY())</f>
        <v/>
      </c>
      <c r="S168" s="20" t="n"/>
      <c r="T168" s="18">
        <f>IF(OR(S168="",N168&lt;&gt;"Paying"),"",IFERROR(INDEX(Plans!$B$2:$B$20,MATCH(S168,Plans!$A$2:$A$20,0)),""))</f>
        <v/>
      </c>
      <c r="U168" s="24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1" t="n"/>
      <c r="I169" s="20" t="n"/>
      <c r="J169" s="20" t="n"/>
      <c r="K169" s="22" t="n"/>
      <c r="L169" s="20" t="n"/>
      <c r="M169" s="15">
        <f>IF(L169="","",IF(OR(L169="Voicemail",L169="No answer"),"High",IF(L169="Answering service","Medium","Low")))</f>
        <v/>
      </c>
      <c r="N169" s="20" t="n"/>
      <c r="O169" s="23" t="n"/>
      <c r="P169" s="20" t="n"/>
      <c r="Q169" s="23" t="n"/>
      <c r="R169" s="17">
        <f>IF(Q169="","",Q169-TODAY())</f>
        <v/>
      </c>
      <c r="S169" s="20" t="n"/>
      <c r="T169" s="18">
        <f>IF(OR(S169="",N169&lt;&gt;"Paying"),"",IFERROR(INDEX(Plans!$B$2:$B$20,MATCH(S169,Plans!$A$2:$A$20,0)),""))</f>
        <v/>
      </c>
      <c r="U169" s="24" t="n"/>
    </row>
    <row r="170">
      <c r="A170" s="20" t="n"/>
      <c r="B170" s="20" t="n"/>
      <c r="C170" s="20" t="n"/>
      <c r="D170" s="20" t="n"/>
      <c r="E170" s="20" t="n"/>
      <c r="F170" s="20" t="n"/>
      <c r="G170" s="20" t="n"/>
      <c r="H170" s="21" t="n"/>
      <c r="I170" s="20" t="n"/>
      <c r="J170" s="20" t="n"/>
      <c r="K170" s="22" t="n"/>
      <c r="L170" s="20" t="n"/>
      <c r="M170" s="15">
        <f>IF(L170="","",IF(OR(L170="Voicemail",L170="No answer"),"High",IF(L170="Answering service","Medium","Low")))</f>
        <v/>
      </c>
      <c r="N170" s="20" t="n"/>
      <c r="O170" s="23" t="n"/>
      <c r="P170" s="20" t="n"/>
      <c r="Q170" s="23" t="n"/>
      <c r="R170" s="17">
        <f>IF(Q170="","",Q170-TODAY())</f>
        <v/>
      </c>
      <c r="S170" s="20" t="n"/>
      <c r="T170" s="18">
        <f>IF(OR(S170="",N170&lt;&gt;"Paying"),"",IFERROR(INDEX(Plans!$B$2:$B$20,MATCH(S170,Plans!$A$2:$A$20,0)),""))</f>
        <v/>
      </c>
      <c r="U170" s="24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1" t="n"/>
      <c r="I171" s="20" t="n"/>
      <c r="J171" s="20" t="n"/>
      <c r="K171" s="22" t="n"/>
      <c r="L171" s="20" t="n"/>
      <c r="M171" s="15">
        <f>IF(L171="","",IF(OR(L171="Voicemail",L171="No answer"),"High",IF(L171="Answering service","Medium","Low")))</f>
        <v/>
      </c>
      <c r="N171" s="20" t="n"/>
      <c r="O171" s="23" t="n"/>
      <c r="P171" s="20" t="n"/>
      <c r="Q171" s="23" t="n"/>
      <c r="R171" s="17">
        <f>IF(Q171="","",Q171-TODAY())</f>
        <v/>
      </c>
      <c r="S171" s="20" t="n"/>
      <c r="T171" s="18">
        <f>IF(OR(S171="",N171&lt;&gt;"Paying"),"",IFERROR(INDEX(Plans!$B$2:$B$20,MATCH(S171,Plans!$A$2:$A$20,0)),""))</f>
        <v/>
      </c>
      <c r="U171" s="24" t="n"/>
    </row>
    <row r="172">
      <c r="A172" s="20" t="n"/>
      <c r="B172" s="20" t="n"/>
      <c r="C172" s="20" t="n"/>
      <c r="D172" s="20" t="n"/>
      <c r="E172" s="20" t="n"/>
      <c r="F172" s="20" t="n"/>
      <c r="G172" s="20" t="n"/>
      <c r="H172" s="21" t="n"/>
      <c r="I172" s="20" t="n"/>
      <c r="J172" s="20" t="n"/>
      <c r="K172" s="22" t="n"/>
      <c r="L172" s="20" t="n"/>
      <c r="M172" s="15">
        <f>IF(L172="","",IF(OR(L172="Voicemail",L172="No answer"),"High",IF(L172="Answering service","Medium","Low")))</f>
        <v/>
      </c>
      <c r="N172" s="20" t="n"/>
      <c r="O172" s="23" t="n"/>
      <c r="P172" s="20" t="n"/>
      <c r="Q172" s="23" t="n"/>
      <c r="R172" s="17">
        <f>IF(Q172="","",Q172-TODAY())</f>
        <v/>
      </c>
      <c r="S172" s="20" t="n"/>
      <c r="T172" s="18">
        <f>IF(OR(S172="",N172&lt;&gt;"Paying"),"",IFERROR(INDEX(Plans!$B$2:$B$20,MATCH(S172,Plans!$A$2:$A$20,0)),""))</f>
        <v/>
      </c>
      <c r="U172" s="24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1" t="n"/>
      <c r="I173" s="20" t="n"/>
      <c r="J173" s="20" t="n"/>
      <c r="K173" s="22" t="n"/>
      <c r="L173" s="20" t="n"/>
      <c r="M173" s="15">
        <f>IF(L173="","",IF(OR(L173="Voicemail",L173="No answer"),"High",IF(L173="Answering service","Medium","Low")))</f>
        <v/>
      </c>
      <c r="N173" s="20" t="n"/>
      <c r="O173" s="23" t="n"/>
      <c r="P173" s="20" t="n"/>
      <c r="Q173" s="23" t="n"/>
      <c r="R173" s="17">
        <f>IF(Q173="","",Q173-TODAY())</f>
        <v/>
      </c>
      <c r="S173" s="20" t="n"/>
      <c r="T173" s="18">
        <f>IF(OR(S173="",N173&lt;&gt;"Paying"),"",IFERROR(INDEX(Plans!$B$2:$B$20,MATCH(S173,Plans!$A$2:$A$20,0)),""))</f>
        <v/>
      </c>
      <c r="U173" s="24" t="n"/>
    </row>
    <row r="174">
      <c r="A174" s="20" t="n"/>
      <c r="B174" s="20" t="n"/>
      <c r="C174" s="20" t="n"/>
      <c r="D174" s="20" t="n"/>
      <c r="E174" s="20" t="n"/>
      <c r="F174" s="20" t="n"/>
      <c r="G174" s="20" t="n"/>
      <c r="H174" s="21" t="n"/>
      <c r="I174" s="20" t="n"/>
      <c r="J174" s="20" t="n"/>
      <c r="K174" s="22" t="n"/>
      <c r="L174" s="20" t="n"/>
      <c r="M174" s="15">
        <f>IF(L174="","",IF(OR(L174="Voicemail",L174="No answer"),"High",IF(L174="Answering service","Medium","Low")))</f>
        <v/>
      </c>
      <c r="N174" s="20" t="n"/>
      <c r="O174" s="23" t="n"/>
      <c r="P174" s="20" t="n"/>
      <c r="Q174" s="23" t="n"/>
      <c r="R174" s="17">
        <f>IF(Q174="","",Q174-TODAY())</f>
        <v/>
      </c>
      <c r="S174" s="20" t="n"/>
      <c r="T174" s="18">
        <f>IF(OR(S174="",N174&lt;&gt;"Paying"),"",IFERROR(INDEX(Plans!$B$2:$B$20,MATCH(S174,Plans!$A$2:$A$20,0)),""))</f>
        <v/>
      </c>
      <c r="U174" s="24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1" t="n"/>
      <c r="I175" s="20" t="n"/>
      <c r="J175" s="20" t="n"/>
      <c r="K175" s="22" t="n"/>
      <c r="L175" s="20" t="n"/>
      <c r="M175" s="15">
        <f>IF(L175="","",IF(OR(L175="Voicemail",L175="No answer"),"High",IF(L175="Answering service","Medium","Low")))</f>
        <v/>
      </c>
      <c r="N175" s="20" t="n"/>
      <c r="O175" s="23" t="n"/>
      <c r="P175" s="20" t="n"/>
      <c r="Q175" s="23" t="n"/>
      <c r="R175" s="17">
        <f>IF(Q175="","",Q175-TODAY())</f>
        <v/>
      </c>
      <c r="S175" s="20" t="n"/>
      <c r="T175" s="18">
        <f>IF(OR(S175="",N175&lt;&gt;"Paying"),"",IFERROR(INDEX(Plans!$B$2:$B$20,MATCH(S175,Plans!$A$2:$A$20,0)),""))</f>
        <v/>
      </c>
      <c r="U175" s="24" t="n"/>
    </row>
    <row r="176">
      <c r="A176" s="20" t="n"/>
      <c r="B176" s="20" t="n"/>
      <c r="C176" s="20" t="n"/>
      <c r="D176" s="20" t="n"/>
      <c r="E176" s="20" t="n"/>
      <c r="F176" s="20" t="n"/>
      <c r="G176" s="20" t="n"/>
      <c r="H176" s="21" t="n"/>
      <c r="I176" s="20" t="n"/>
      <c r="J176" s="20" t="n"/>
      <c r="K176" s="22" t="n"/>
      <c r="L176" s="20" t="n"/>
      <c r="M176" s="15">
        <f>IF(L176="","",IF(OR(L176="Voicemail",L176="No answer"),"High",IF(L176="Answering service","Medium","Low")))</f>
        <v/>
      </c>
      <c r="N176" s="20" t="n"/>
      <c r="O176" s="23" t="n"/>
      <c r="P176" s="20" t="n"/>
      <c r="Q176" s="23" t="n"/>
      <c r="R176" s="17">
        <f>IF(Q176="","",Q176-TODAY())</f>
        <v/>
      </c>
      <c r="S176" s="20" t="n"/>
      <c r="T176" s="18">
        <f>IF(OR(S176="",N176&lt;&gt;"Paying"),"",IFERROR(INDEX(Plans!$B$2:$B$20,MATCH(S176,Plans!$A$2:$A$20,0)),""))</f>
        <v/>
      </c>
      <c r="U176" s="24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1" t="n"/>
      <c r="I177" s="20" t="n"/>
      <c r="J177" s="20" t="n"/>
      <c r="K177" s="22" t="n"/>
      <c r="L177" s="20" t="n"/>
      <c r="M177" s="15">
        <f>IF(L177="","",IF(OR(L177="Voicemail",L177="No answer"),"High",IF(L177="Answering service","Medium","Low")))</f>
        <v/>
      </c>
      <c r="N177" s="20" t="n"/>
      <c r="O177" s="23" t="n"/>
      <c r="P177" s="20" t="n"/>
      <c r="Q177" s="23" t="n"/>
      <c r="R177" s="17">
        <f>IF(Q177="","",Q177-TODAY())</f>
        <v/>
      </c>
      <c r="S177" s="20" t="n"/>
      <c r="T177" s="18">
        <f>IF(OR(S177="",N177&lt;&gt;"Paying"),"",IFERROR(INDEX(Plans!$B$2:$B$20,MATCH(S177,Plans!$A$2:$A$20,0)),""))</f>
        <v/>
      </c>
      <c r="U177" s="24" t="n"/>
    </row>
    <row r="178">
      <c r="A178" s="20" t="n"/>
      <c r="B178" s="20" t="n"/>
      <c r="C178" s="20" t="n"/>
      <c r="D178" s="20" t="n"/>
      <c r="E178" s="20" t="n"/>
      <c r="F178" s="20" t="n"/>
      <c r="G178" s="20" t="n"/>
      <c r="H178" s="21" t="n"/>
      <c r="I178" s="20" t="n"/>
      <c r="J178" s="20" t="n"/>
      <c r="K178" s="22" t="n"/>
      <c r="L178" s="20" t="n"/>
      <c r="M178" s="15">
        <f>IF(L178="","",IF(OR(L178="Voicemail",L178="No answer"),"High",IF(L178="Answering service","Medium","Low")))</f>
        <v/>
      </c>
      <c r="N178" s="20" t="n"/>
      <c r="O178" s="23" t="n"/>
      <c r="P178" s="20" t="n"/>
      <c r="Q178" s="23" t="n"/>
      <c r="R178" s="17">
        <f>IF(Q178="","",Q178-TODAY())</f>
        <v/>
      </c>
      <c r="S178" s="20" t="n"/>
      <c r="T178" s="18">
        <f>IF(OR(S178="",N178&lt;&gt;"Paying"),"",IFERROR(INDEX(Plans!$B$2:$B$20,MATCH(S178,Plans!$A$2:$A$20,0)),""))</f>
        <v/>
      </c>
      <c r="U178" s="24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1" t="n"/>
      <c r="I179" s="20" t="n"/>
      <c r="J179" s="20" t="n"/>
      <c r="K179" s="22" t="n"/>
      <c r="L179" s="20" t="n"/>
      <c r="M179" s="15">
        <f>IF(L179="","",IF(OR(L179="Voicemail",L179="No answer"),"High",IF(L179="Answering service","Medium","Low")))</f>
        <v/>
      </c>
      <c r="N179" s="20" t="n"/>
      <c r="O179" s="23" t="n"/>
      <c r="P179" s="20" t="n"/>
      <c r="Q179" s="23" t="n"/>
      <c r="R179" s="17">
        <f>IF(Q179="","",Q179-TODAY())</f>
        <v/>
      </c>
      <c r="S179" s="20" t="n"/>
      <c r="T179" s="18">
        <f>IF(OR(S179="",N179&lt;&gt;"Paying"),"",IFERROR(INDEX(Plans!$B$2:$B$20,MATCH(S179,Plans!$A$2:$A$20,0)),""))</f>
        <v/>
      </c>
      <c r="U179" s="24" t="n"/>
    </row>
    <row r="180">
      <c r="A180" s="20" t="n"/>
      <c r="B180" s="20" t="n"/>
      <c r="C180" s="20" t="n"/>
      <c r="D180" s="20" t="n"/>
      <c r="E180" s="20" t="n"/>
      <c r="F180" s="20" t="n"/>
      <c r="G180" s="20" t="n"/>
      <c r="H180" s="21" t="n"/>
      <c r="I180" s="20" t="n"/>
      <c r="J180" s="20" t="n"/>
      <c r="K180" s="22" t="n"/>
      <c r="L180" s="20" t="n"/>
      <c r="M180" s="15">
        <f>IF(L180="","",IF(OR(L180="Voicemail",L180="No answer"),"High",IF(L180="Answering service","Medium","Low")))</f>
        <v/>
      </c>
      <c r="N180" s="20" t="n"/>
      <c r="O180" s="23" t="n"/>
      <c r="P180" s="20" t="n"/>
      <c r="Q180" s="23" t="n"/>
      <c r="R180" s="17">
        <f>IF(Q180="","",Q180-TODAY())</f>
        <v/>
      </c>
      <c r="S180" s="20" t="n"/>
      <c r="T180" s="18">
        <f>IF(OR(S180="",N180&lt;&gt;"Paying"),"",IFERROR(INDEX(Plans!$B$2:$B$20,MATCH(S180,Plans!$A$2:$A$20,0)),""))</f>
        <v/>
      </c>
      <c r="U180" s="24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1" t="n"/>
      <c r="I181" s="20" t="n"/>
      <c r="J181" s="20" t="n"/>
      <c r="K181" s="22" t="n"/>
      <c r="L181" s="20" t="n"/>
      <c r="M181" s="15">
        <f>IF(L181="","",IF(OR(L181="Voicemail",L181="No answer"),"High",IF(L181="Answering service","Medium","Low")))</f>
        <v/>
      </c>
      <c r="N181" s="20" t="n"/>
      <c r="O181" s="23" t="n"/>
      <c r="P181" s="20" t="n"/>
      <c r="Q181" s="23" t="n"/>
      <c r="R181" s="17">
        <f>IF(Q181="","",Q181-TODAY())</f>
        <v/>
      </c>
      <c r="S181" s="20" t="n"/>
      <c r="T181" s="18">
        <f>IF(OR(S181="",N181&lt;&gt;"Paying"),"",IFERROR(INDEX(Plans!$B$2:$B$20,MATCH(S181,Plans!$A$2:$A$20,0)),""))</f>
        <v/>
      </c>
      <c r="U181" s="24" t="n"/>
    </row>
    <row r="182">
      <c r="A182" s="20" t="n"/>
      <c r="B182" s="20" t="n"/>
      <c r="C182" s="20" t="n"/>
      <c r="D182" s="20" t="n"/>
      <c r="E182" s="20" t="n"/>
      <c r="F182" s="20" t="n"/>
      <c r="G182" s="20" t="n"/>
      <c r="H182" s="21" t="n"/>
      <c r="I182" s="20" t="n"/>
      <c r="J182" s="20" t="n"/>
      <c r="K182" s="22" t="n"/>
      <c r="L182" s="20" t="n"/>
      <c r="M182" s="15">
        <f>IF(L182="","",IF(OR(L182="Voicemail",L182="No answer"),"High",IF(L182="Answering service","Medium","Low")))</f>
        <v/>
      </c>
      <c r="N182" s="20" t="n"/>
      <c r="O182" s="23" t="n"/>
      <c r="P182" s="20" t="n"/>
      <c r="Q182" s="23" t="n"/>
      <c r="R182" s="17">
        <f>IF(Q182="","",Q182-TODAY())</f>
        <v/>
      </c>
      <c r="S182" s="20" t="n"/>
      <c r="T182" s="18">
        <f>IF(OR(S182="",N182&lt;&gt;"Paying"),"",IFERROR(INDEX(Plans!$B$2:$B$20,MATCH(S182,Plans!$A$2:$A$20,0)),""))</f>
        <v/>
      </c>
      <c r="U182" s="24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1" t="n"/>
      <c r="I183" s="20" t="n"/>
      <c r="J183" s="20" t="n"/>
      <c r="K183" s="22" t="n"/>
      <c r="L183" s="20" t="n"/>
      <c r="M183" s="15">
        <f>IF(L183="","",IF(OR(L183="Voicemail",L183="No answer"),"High",IF(L183="Answering service","Medium","Low")))</f>
        <v/>
      </c>
      <c r="N183" s="20" t="n"/>
      <c r="O183" s="23" t="n"/>
      <c r="P183" s="20" t="n"/>
      <c r="Q183" s="23" t="n"/>
      <c r="R183" s="17">
        <f>IF(Q183="","",Q183-TODAY())</f>
        <v/>
      </c>
      <c r="S183" s="20" t="n"/>
      <c r="T183" s="18">
        <f>IF(OR(S183="",N183&lt;&gt;"Paying"),"",IFERROR(INDEX(Plans!$B$2:$B$20,MATCH(S183,Plans!$A$2:$A$20,0)),""))</f>
        <v/>
      </c>
      <c r="U183" s="24" t="n"/>
    </row>
    <row r="184">
      <c r="A184" s="20" t="n"/>
      <c r="B184" s="20" t="n"/>
      <c r="C184" s="20" t="n"/>
      <c r="D184" s="20" t="n"/>
      <c r="E184" s="20" t="n"/>
      <c r="F184" s="20" t="n"/>
      <c r="G184" s="20" t="n"/>
      <c r="H184" s="21" t="n"/>
      <c r="I184" s="20" t="n"/>
      <c r="J184" s="20" t="n"/>
      <c r="K184" s="22" t="n"/>
      <c r="L184" s="20" t="n"/>
      <c r="M184" s="15">
        <f>IF(L184="","",IF(OR(L184="Voicemail",L184="No answer"),"High",IF(L184="Answering service","Medium","Low")))</f>
        <v/>
      </c>
      <c r="N184" s="20" t="n"/>
      <c r="O184" s="23" t="n"/>
      <c r="P184" s="20" t="n"/>
      <c r="Q184" s="23" t="n"/>
      <c r="R184" s="17">
        <f>IF(Q184="","",Q184-TODAY())</f>
        <v/>
      </c>
      <c r="S184" s="20" t="n"/>
      <c r="T184" s="18">
        <f>IF(OR(S184="",N184&lt;&gt;"Paying"),"",IFERROR(INDEX(Plans!$B$2:$B$20,MATCH(S184,Plans!$A$2:$A$20,0)),""))</f>
        <v/>
      </c>
      <c r="U184" s="24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1" t="n"/>
      <c r="I185" s="20" t="n"/>
      <c r="J185" s="20" t="n"/>
      <c r="K185" s="22" t="n"/>
      <c r="L185" s="20" t="n"/>
      <c r="M185" s="15">
        <f>IF(L185="","",IF(OR(L185="Voicemail",L185="No answer"),"High",IF(L185="Answering service","Medium","Low")))</f>
        <v/>
      </c>
      <c r="N185" s="20" t="n"/>
      <c r="O185" s="23" t="n"/>
      <c r="P185" s="20" t="n"/>
      <c r="Q185" s="23" t="n"/>
      <c r="R185" s="17">
        <f>IF(Q185="","",Q185-TODAY())</f>
        <v/>
      </c>
      <c r="S185" s="20" t="n"/>
      <c r="T185" s="18">
        <f>IF(OR(S185="",N185&lt;&gt;"Paying"),"",IFERROR(INDEX(Plans!$B$2:$B$20,MATCH(S185,Plans!$A$2:$A$20,0)),""))</f>
        <v/>
      </c>
      <c r="U185" s="24" t="n"/>
    </row>
    <row r="186">
      <c r="A186" s="20" t="n"/>
      <c r="B186" s="20" t="n"/>
      <c r="C186" s="20" t="n"/>
      <c r="D186" s="20" t="n"/>
      <c r="E186" s="20" t="n"/>
      <c r="F186" s="20" t="n"/>
      <c r="G186" s="20" t="n"/>
      <c r="H186" s="21" t="n"/>
      <c r="I186" s="20" t="n"/>
      <c r="J186" s="20" t="n"/>
      <c r="K186" s="22" t="n"/>
      <c r="L186" s="20" t="n"/>
      <c r="M186" s="15">
        <f>IF(L186="","",IF(OR(L186="Voicemail",L186="No answer"),"High",IF(L186="Answering service","Medium","Low")))</f>
        <v/>
      </c>
      <c r="N186" s="20" t="n"/>
      <c r="O186" s="23" t="n"/>
      <c r="P186" s="20" t="n"/>
      <c r="Q186" s="23" t="n"/>
      <c r="R186" s="17">
        <f>IF(Q186="","",Q186-TODAY())</f>
        <v/>
      </c>
      <c r="S186" s="20" t="n"/>
      <c r="T186" s="18">
        <f>IF(OR(S186="",N186&lt;&gt;"Paying"),"",IFERROR(INDEX(Plans!$B$2:$B$20,MATCH(S186,Plans!$A$2:$A$20,0)),""))</f>
        <v/>
      </c>
      <c r="U186" s="24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1" t="n"/>
      <c r="I187" s="20" t="n"/>
      <c r="J187" s="20" t="n"/>
      <c r="K187" s="22" t="n"/>
      <c r="L187" s="20" t="n"/>
      <c r="M187" s="15">
        <f>IF(L187="","",IF(OR(L187="Voicemail",L187="No answer"),"High",IF(L187="Answering service","Medium","Low")))</f>
        <v/>
      </c>
      <c r="N187" s="20" t="n"/>
      <c r="O187" s="23" t="n"/>
      <c r="P187" s="20" t="n"/>
      <c r="Q187" s="23" t="n"/>
      <c r="R187" s="17">
        <f>IF(Q187="","",Q187-TODAY())</f>
        <v/>
      </c>
      <c r="S187" s="20" t="n"/>
      <c r="T187" s="18">
        <f>IF(OR(S187="",N187&lt;&gt;"Paying"),"",IFERROR(INDEX(Plans!$B$2:$B$20,MATCH(S187,Plans!$A$2:$A$20,0)),""))</f>
        <v/>
      </c>
      <c r="U187" s="24" t="n"/>
    </row>
    <row r="188">
      <c r="A188" s="20" t="n"/>
      <c r="B188" s="20" t="n"/>
      <c r="C188" s="20" t="n"/>
      <c r="D188" s="20" t="n"/>
      <c r="E188" s="20" t="n"/>
      <c r="F188" s="20" t="n"/>
      <c r="G188" s="20" t="n"/>
      <c r="H188" s="21" t="n"/>
      <c r="I188" s="20" t="n"/>
      <c r="J188" s="20" t="n"/>
      <c r="K188" s="22" t="n"/>
      <c r="L188" s="20" t="n"/>
      <c r="M188" s="15">
        <f>IF(L188="","",IF(OR(L188="Voicemail",L188="No answer"),"High",IF(L188="Answering service","Medium","Low")))</f>
        <v/>
      </c>
      <c r="N188" s="20" t="n"/>
      <c r="O188" s="23" t="n"/>
      <c r="P188" s="20" t="n"/>
      <c r="Q188" s="23" t="n"/>
      <c r="R188" s="17">
        <f>IF(Q188="","",Q188-TODAY())</f>
        <v/>
      </c>
      <c r="S188" s="20" t="n"/>
      <c r="T188" s="18">
        <f>IF(OR(S188="",N188&lt;&gt;"Paying"),"",IFERROR(INDEX(Plans!$B$2:$B$20,MATCH(S188,Plans!$A$2:$A$20,0)),""))</f>
        <v/>
      </c>
      <c r="U188" s="24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1" t="n"/>
      <c r="I189" s="20" t="n"/>
      <c r="J189" s="20" t="n"/>
      <c r="K189" s="22" t="n"/>
      <c r="L189" s="20" t="n"/>
      <c r="M189" s="15">
        <f>IF(L189="","",IF(OR(L189="Voicemail",L189="No answer"),"High",IF(L189="Answering service","Medium","Low")))</f>
        <v/>
      </c>
      <c r="N189" s="20" t="n"/>
      <c r="O189" s="23" t="n"/>
      <c r="P189" s="20" t="n"/>
      <c r="Q189" s="23" t="n"/>
      <c r="R189" s="17">
        <f>IF(Q189="","",Q189-TODAY())</f>
        <v/>
      </c>
      <c r="S189" s="20" t="n"/>
      <c r="T189" s="18">
        <f>IF(OR(S189="",N189&lt;&gt;"Paying"),"",IFERROR(INDEX(Plans!$B$2:$B$20,MATCH(S189,Plans!$A$2:$A$20,0)),""))</f>
        <v/>
      </c>
      <c r="U189" s="24" t="n"/>
    </row>
    <row r="190">
      <c r="A190" s="20" t="n"/>
      <c r="B190" s="20" t="n"/>
      <c r="C190" s="20" t="n"/>
      <c r="D190" s="20" t="n"/>
      <c r="E190" s="20" t="n"/>
      <c r="F190" s="20" t="n"/>
      <c r="G190" s="20" t="n"/>
      <c r="H190" s="21" t="n"/>
      <c r="I190" s="20" t="n"/>
      <c r="J190" s="20" t="n"/>
      <c r="K190" s="22" t="n"/>
      <c r="L190" s="20" t="n"/>
      <c r="M190" s="15">
        <f>IF(L190="","",IF(OR(L190="Voicemail",L190="No answer"),"High",IF(L190="Answering service","Medium","Low")))</f>
        <v/>
      </c>
      <c r="N190" s="20" t="n"/>
      <c r="O190" s="23" t="n"/>
      <c r="P190" s="20" t="n"/>
      <c r="Q190" s="23" t="n"/>
      <c r="R190" s="17">
        <f>IF(Q190="","",Q190-TODAY())</f>
        <v/>
      </c>
      <c r="S190" s="20" t="n"/>
      <c r="T190" s="18">
        <f>IF(OR(S190="",N190&lt;&gt;"Paying"),"",IFERROR(INDEX(Plans!$B$2:$B$20,MATCH(S190,Plans!$A$2:$A$20,0)),""))</f>
        <v/>
      </c>
      <c r="U190" s="24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1" t="n"/>
      <c r="I191" s="20" t="n"/>
      <c r="J191" s="20" t="n"/>
      <c r="K191" s="22" t="n"/>
      <c r="L191" s="20" t="n"/>
      <c r="M191" s="15">
        <f>IF(L191="","",IF(OR(L191="Voicemail",L191="No answer"),"High",IF(L191="Answering service","Medium","Low")))</f>
        <v/>
      </c>
      <c r="N191" s="20" t="n"/>
      <c r="O191" s="23" t="n"/>
      <c r="P191" s="20" t="n"/>
      <c r="Q191" s="23" t="n"/>
      <c r="R191" s="17">
        <f>IF(Q191="","",Q191-TODAY())</f>
        <v/>
      </c>
      <c r="S191" s="20" t="n"/>
      <c r="T191" s="18">
        <f>IF(OR(S191="",N191&lt;&gt;"Paying"),"",IFERROR(INDEX(Plans!$B$2:$B$20,MATCH(S191,Plans!$A$2:$A$20,0)),""))</f>
        <v/>
      </c>
      <c r="U191" s="24" t="n"/>
    </row>
    <row r="192">
      <c r="A192" s="20" t="n"/>
      <c r="B192" s="20" t="n"/>
      <c r="C192" s="20" t="n"/>
      <c r="D192" s="20" t="n"/>
      <c r="E192" s="20" t="n"/>
      <c r="F192" s="20" t="n"/>
      <c r="G192" s="20" t="n"/>
      <c r="H192" s="21" t="n"/>
      <c r="I192" s="20" t="n"/>
      <c r="J192" s="20" t="n"/>
      <c r="K192" s="22" t="n"/>
      <c r="L192" s="20" t="n"/>
      <c r="M192" s="15">
        <f>IF(L192="","",IF(OR(L192="Voicemail",L192="No answer"),"High",IF(L192="Answering service","Medium","Low")))</f>
        <v/>
      </c>
      <c r="N192" s="20" t="n"/>
      <c r="O192" s="23" t="n"/>
      <c r="P192" s="20" t="n"/>
      <c r="Q192" s="23" t="n"/>
      <c r="R192" s="17">
        <f>IF(Q192="","",Q192-TODAY())</f>
        <v/>
      </c>
      <c r="S192" s="20" t="n"/>
      <c r="T192" s="18">
        <f>IF(OR(S192="",N192&lt;&gt;"Paying"),"",IFERROR(INDEX(Plans!$B$2:$B$20,MATCH(S192,Plans!$A$2:$A$20,0)),""))</f>
        <v/>
      </c>
      <c r="U192" s="24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1" t="n"/>
      <c r="I193" s="20" t="n"/>
      <c r="J193" s="20" t="n"/>
      <c r="K193" s="22" t="n"/>
      <c r="L193" s="20" t="n"/>
      <c r="M193" s="15">
        <f>IF(L193="","",IF(OR(L193="Voicemail",L193="No answer"),"High",IF(L193="Answering service","Medium","Low")))</f>
        <v/>
      </c>
      <c r="N193" s="20" t="n"/>
      <c r="O193" s="23" t="n"/>
      <c r="P193" s="20" t="n"/>
      <c r="Q193" s="23" t="n"/>
      <c r="R193" s="17">
        <f>IF(Q193="","",Q193-TODAY())</f>
        <v/>
      </c>
      <c r="S193" s="20" t="n"/>
      <c r="T193" s="18">
        <f>IF(OR(S193="",N193&lt;&gt;"Paying"),"",IFERROR(INDEX(Plans!$B$2:$B$20,MATCH(S193,Plans!$A$2:$A$20,0)),""))</f>
        <v/>
      </c>
      <c r="U193" s="24" t="n"/>
    </row>
    <row r="194">
      <c r="A194" s="20" t="n"/>
      <c r="B194" s="20" t="n"/>
      <c r="C194" s="20" t="n"/>
      <c r="D194" s="20" t="n"/>
      <c r="E194" s="20" t="n"/>
      <c r="F194" s="20" t="n"/>
      <c r="G194" s="20" t="n"/>
      <c r="H194" s="21" t="n"/>
      <c r="I194" s="20" t="n"/>
      <c r="J194" s="20" t="n"/>
      <c r="K194" s="22" t="n"/>
      <c r="L194" s="20" t="n"/>
      <c r="M194" s="15">
        <f>IF(L194="","",IF(OR(L194="Voicemail",L194="No answer"),"High",IF(L194="Answering service","Medium","Low")))</f>
        <v/>
      </c>
      <c r="N194" s="20" t="n"/>
      <c r="O194" s="23" t="n"/>
      <c r="P194" s="20" t="n"/>
      <c r="Q194" s="23" t="n"/>
      <c r="R194" s="17">
        <f>IF(Q194="","",Q194-TODAY())</f>
        <v/>
      </c>
      <c r="S194" s="20" t="n"/>
      <c r="T194" s="18">
        <f>IF(OR(S194="",N194&lt;&gt;"Paying"),"",IFERROR(INDEX(Plans!$B$2:$B$20,MATCH(S194,Plans!$A$2:$A$20,0)),""))</f>
        <v/>
      </c>
      <c r="U194" s="24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1" t="n"/>
      <c r="I195" s="20" t="n"/>
      <c r="J195" s="20" t="n"/>
      <c r="K195" s="22" t="n"/>
      <c r="L195" s="20" t="n"/>
      <c r="M195" s="15">
        <f>IF(L195="","",IF(OR(L195="Voicemail",L195="No answer"),"High",IF(L195="Answering service","Medium","Low")))</f>
        <v/>
      </c>
      <c r="N195" s="20" t="n"/>
      <c r="O195" s="23" t="n"/>
      <c r="P195" s="20" t="n"/>
      <c r="Q195" s="23" t="n"/>
      <c r="R195" s="17">
        <f>IF(Q195="","",Q195-TODAY())</f>
        <v/>
      </c>
      <c r="S195" s="20" t="n"/>
      <c r="T195" s="18">
        <f>IF(OR(S195="",N195&lt;&gt;"Paying"),"",IFERROR(INDEX(Plans!$B$2:$B$20,MATCH(S195,Plans!$A$2:$A$20,0)),""))</f>
        <v/>
      </c>
      <c r="U195" s="24" t="n"/>
    </row>
    <row r="196">
      <c r="A196" s="20" t="n"/>
      <c r="B196" s="20" t="n"/>
      <c r="C196" s="20" t="n"/>
      <c r="D196" s="20" t="n"/>
      <c r="E196" s="20" t="n"/>
      <c r="F196" s="20" t="n"/>
      <c r="G196" s="20" t="n"/>
      <c r="H196" s="21" t="n"/>
      <c r="I196" s="20" t="n"/>
      <c r="J196" s="20" t="n"/>
      <c r="K196" s="22" t="n"/>
      <c r="L196" s="20" t="n"/>
      <c r="M196" s="15">
        <f>IF(L196="","",IF(OR(L196="Voicemail",L196="No answer"),"High",IF(L196="Answering service","Medium","Low")))</f>
        <v/>
      </c>
      <c r="N196" s="20" t="n"/>
      <c r="O196" s="23" t="n"/>
      <c r="P196" s="20" t="n"/>
      <c r="Q196" s="23" t="n"/>
      <c r="R196" s="17">
        <f>IF(Q196="","",Q196-TODAY())</f>
        <v/>
      </c>
      <c r="S196" s="20" t="n"/>
      <c r="T196" s="18">
        <f>IF(OR(S196="",N196&lt;&gt;"Paying"),"",IFERROR(INDEX(Plans!$B$2:$B$20,MATCH(S196,Plans!$A$2:$A$20,0)),""))</f>
        <v/>
      </c>
      <c r="U196" s="24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1" t="n"/>
      <c r="I197" s="20" t="n"/>
      <c r="J197" s="20" t="n"/>
      <c r="K197" s="22" t="n"/>
      <c r="L197" s="20" t="n"/>
      <c r="M197" s="15">
        <f>IF(L197="","",IF(OR(L197="Voicemail",L197="No answer"),"High",IF(L197="Answering service","Medium","Low")))</f>
        <v/>
      </c>
      <c r="N197" s="20" t="n"/>
      <c r="O197" s="23" t="n"/>
      <c r="P197" s="20" t="n"/>
      <c r="Q197" s="23" t="n"/>
      <c r="R197" s="17">
        <f>IF(Q197="","",Q197-TODAY())</f>
        <v/>
      </c>
      <c r="S197" s="20" t="n"/>
      <c r="T197" s="18">
        <f>IF(OR(S197="",N197&lt;&gt;"Paying"),"",IFERROR(INDEX(Plans!$B$2:$B$20,MATCH(S197,Plans!$A$2:$A$20,0)),""))</f>
        <v/>
      </c>
      <c r="U197" s="24" t="n"/>
    </row>
    <row r="198">
      <c r="A198" s="20" t="n"/>
      <c r="B198" s="20" t="n"/>
      <c r="C198" s="20" t="n"/>
      <c r="D198" s="20" t="n"/>
      <c r="E198" s="20" t="n"/>
      <c r="F198" s="20" t="n"/>
      <c r="G198" s="20" t="n"/>
      <c r="H198" s="21" t="n"/>
      <c r="I198" s="20" t="n"/>
      <c r="J198" s="20" t="n"/>
      <c r="K198" s="22" t="n"/>
      <c r="L198" s="20" t="n"/>
      <c r="M198" s="15">
        <f>IF(L198="","",IF(OR(L198="Voicemail",L198="No answer"),"High",IF(L198="Answering service","Medium","Low")))</f>
        <v/>
      </c>
      <c r="N198" s="20" t="n"/>
      <c r="O198" s="23" t="n"/>
      <c r="P198" s="20" t="n"/>
      <c r="Q198" s="23" t="n"/>
      <c r="R198" s="17">
        <f>IF(Q198="","",Q198-TODAY())</f>
        <v/>
      </c>
      <c r="S198" s="20" t="n"/>
      <c r="T198" s="18">
        <f>IF(OR(S198="",N198&lt;&gt;"Paying"),"",IFERROR(INDEX(Plans!$B$2:$B$20,MATCH(S198,Plans!$A$2:$A$20,0)),""))</f>
        <v/>
      </c>
      <c r="U198" s="24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1" t="n"/>
      <c r="I199" s="20" t="n"/>
      <c r="J199" s="20" t="n"/>
      <c r="K199" s="22" t="n"/>
      <c r="L199" s="20" t="n"/>
      <c r="M199" s="15">
        <f>IF(L199="","",IF(OR(L199="Voicemail",L199="No answer"),"High",IF(L199="Answering service","Medium","Low")))</f>
        <v/>
      </c>
      <c r="N199" s="20" t="n"/>
      <c r="O199" s="23" t="n"/>
      <c r="P199" s="20" t="n"/>
      <c r="Q199" s="23" t="n"/>
      <c r="R199" s="17">
        <f>IF(Q199="","",Q199-TODAY())</f>
        <v/>
      </c>
      <c r="S199" s="20" t="n"/>
      <c r="T199" s="18">
        <f>IF(OR(S199="",N199&lt;&gt;"Paying"),"",IFERROR(INDEX(Plans!$B$2:$B$20,MATCH(S199,Plans!$A$2:$A$20,0)),""))</f>
        <v/>
      </c>
      <c r="U199" s="24" t="n"/>
    </row>
    <row r="200">
      <c r="A200" s="20" t="n"/>
      <c r="B200" s="20" t="n"/>
      <c r="C200" s="20" t="n"/>
      <c r="D200" s="20" t="n"/>
      <c r="E200" s="20" t="n"/>
      <c r="F200" s="20" t="n"/>
      <c r="G200" s="20" t="n"/>
      <c r="H200" s="21" t="n"/>
      <c r="I200" s="20" t="n"/>
      <c r="J200" s="20" t="n"/>
      <c r="K200" s="22" t="n"/>
      <c r="L200" s="20" t="n"/>
      <c r="M200" s="15">
        <f>IF(L200="","",IF(OR(L200="Voicemail",L200="No answer"),"High",IF(L200="Answering service","Medium","Low")))</f>
        <v/>
      </c>
      <c r="N200" s="20" t="n"/>
      <c r="O200" s="23" t="n"/>
      <c r="P200" s="20" t="n"/>
      <c r="Q200" s="23" t="n"/>
      <c r="R200" s="17">
        <f>IF(Q200="","",Q200-TODAY())</f>
        <v/>
      </c>
      <c r="S200" s="20" t="n"/>
      <c r="T200" s="18">
        <f>IF(OR(S200="",N200&lt;&gt;"Paying"),"",IFERROR(INDEX(Plans!$B$2:$B$20,MATCH(S200,Plans!$A$2:$A$20,0)),""))</f>
        <v/>
      </c>
      <c r="U200" s="24" t="n"/>
    </row>
    <row r="201">
      <c r="A201" s="20" t="n"/>
      <c r="B201" s="20" t="n"/>
      <c r="C201" s="20" t="n"/>
      <c r="D201" s="20" t="n"/>
      <c r="E201" s="20" t="n"/>
      <c r="F201" s="20" t="n"/>
      <c r="G201" s="20" t="n"/>
      <c r="H201" s="21" t="n"/>
      <c r="I201" s="20" t="n"/>
      <c r="J201" s="20" t="n"/>
      <c r="K201" s="22" t="n"/>
      <c r="L201" s="20" t="n"/>
      <c r="M201" s="15">
        <f>IF(L201="","",IF(OR(L201="Voicemail",L201="No answer"),"High",IF(L201="Answering service","Medium","Low")))</f>
        <v/>
      </c>
      <c r="N201" s="20" t="n"/>
      <c r="O201" s="23" t="n"/>
      <c r="P201" s="20" t="n"/>
      <c r="Q201" s="23" t="n"/>
      <c r="R201" s="17">
        <f>IF(Q201="","",Q201-TODAY())</f>
        <v/>
      </c>
      <c r="S201" s="20" t="n"/>
      <c r="T201" s="18">
        <f>IF(OR(S201="",N201&lt;&gt;"Paying"),"",IFERROR(INDEX(Plans!$B$2:$B$20,MATCH(S201,Plans!$A$2:$A$20,0)),""))</f>
        <v/>
      </c>
      <c r="U201" s="24" t="n"/>
    </row>
    <row r="202">
      <c r="A202" s="20" t="n"/>
      <c r="B202" s="20" t="n"/>
      <c r="C202" s="20" t="n"/>
      <c r="D202" s="20" t="n"/>
      <c r="E202" s="20" t="n"/>
      <c r="F202" s="20" t="n"/>
      <c r="G202" s="20" t="n"/>
      <c r="H202" s="21" t="n"/>
      <c r="I202" s="20" t="n"/>
      <c r="J202" s="20" t="n"/>
      <c r="K202" s="22" t="n"/>
      <c r="L202" s="20" t="n"/>
      <c r="M202" s="15">
        <f>IF(L202="","",IF(OR(L202="Voicemail",L202="No answer"),"High",IF(L202="Answering service","Medium","Low")))</f>
        <v/>
      </c>
      <c r="N202" s="20" t="n"/>
      <c r="O202" s="23" t="n"/>
      <c r="P202" s="20" t="n"/>
      <c r="Q202" s="23" t="n"/>
      <c r="R202" s="17">
        <f>IF(Q202="","",Q202-TODAY())</f>
        <v/>
      </c>
      <c r="S202" s="20" t="n"/>
      <c r="T202" s="18">
        <f>IF(OR(S202="",N202&lt;&gt;"Paying"),"",IFERROR(INDEX(Plans!$B$2:$B$20,MATCH(S202,Plans!$A$2:$A$20,0)),""))</f>
        <v/>
      </c>
      <c r="U202" s="24" t="n"/>
    </row>
    <row r="203">
      <c r="A203" s="20" t="n"/>
      <c r="B203" s="20" t="n"/>
      <c r="C203" s="20" t="n"/>
      <c r="D203" s="20" t="n"/>
      <c r="E203" s="20" t="n"/>
      <c r="F203" s="20" t="n"/>
      <c r="G203" s="20" t="n"/>
      <c r="H203" s="21" t="n"/>
      <c r="I203" s="20" t="n"/>
      <c r="J203" s="20" t="n"/>
      <c r="K203" s="22" t="n"/>
      <c r="L203" s="20" t="n"/>
      <c r="M203" s="15">
        <f>IF(L203="","",IF(OR(L203="Voicemail",L203="No answer"),"High",IF(L203="Answering service","Medium","Low")))</f>
        <v/>
      </c>
      <c r="N203" s="20" t="n"/>
      <c r="O203" s="23" t="n"/>
      <c r="P203" s="20" t="n"/>
      <c r="Q203" s="23" t="n"/>
      <c r="R203" s="17">
        <f>IF(Q203="","",Q203-TODAY())</f>
        <v/>
      </c>
      <c r="S203" s="20" t="n"/>
      <c r="T203" s="18">
        <f>IF(OR(S203="",N203&lt;&gt;"Paying"),"",IFERROR(INDEX(Plans!$B$2:$B$20,MATCH(S203,Plans!$A$2:$A$20,0)),""))</f>
        <v/>
      </c>
      <c r="U203" s="24" t="n"/>
    </row>
    <row r="204">
      <c r="A204" s="20" t="n"/>
      <c r="B204" s="20" t="n"/>
      <c r="C204" s="20" t="n"/>
      <c r="D204" s="20" t="n"/>
      <c r="E204" s="20" t="n"/>
      <c r="F204" s="20" t="n"/>
      <c r="G204" s="20" t="n"/>
      <c r="H204" s="21" t="n"/>
      <c r="I204" s="20" t="n"/>
      <c r="J204" s="20" t="n"/>
      <c r="K204" s="22" t="n"/>
      <c r="L204" s="20" t="n"/>
      <c r="M204" s="15">
        <f>IF(L204="","",IF(OR(L204="Voicemail",L204="No answer"),"High",IF(L204="Answering service","Medium","Low")))</f>
        <v/>
      </c>
      <c r="N204" s="20" t="n"/>
      <c r="O204" s="23" t="n"/>
      <c r="P204" s="20" t="n"/>
      <c r="Q204" s="23" t="n"/>
      <c r="R204" s="17">
        <f>IF(Q204="","",Q204-TODAY())</f>
        <v/>
      </c>
      <c r="S204" s="20" t="n"/>
      <c r="T204" s="18">
        <f>IF(OR(S204="",N204&lt;&gt;"Paying"),"",IFERROR(INDEX(Plans!$B$2:$B$20,MATCH(S204,Plans!$A$2:$A$20,0)),""))</f>
        <v/>
      </c>
      <c r="U204" s="24" t="n"/>
    </row>
    <row r="205">
      <c r="A205" s="20" t="n"/>
      <c r="B205" s="20" t="n"/>
      <c r="C205" s="20" t="n"/>
      <c r="D205" s="20" t="n"/>
      <c r="E205" s="20" t="n"/>
      <c r="F205" s="20" t="n"/>
      <c r="G205" s="20" t="n"/>
      <c r="H205" s="21" t="n"/>
      <c r="I205" s="20" t="n"/>
      <c r="J205" s="20" t="n"/>
      <c r="K205" s="22" t="n"/>
      <c r="L205" s="20" t="n"/>
      <c r="M205" s="15">
        <f>IF(L205="","",IF(OR(L205="Voicemail",L205="No answer"),"High",IF(L205="Answering service","Medium","Low")))</f>
        <v/>
      </c>
      <c r="N205" s="20" t="n"/>
      <c r="O205" s="23" t="n"/>
      <c r="P205" s="20" t="n"/>
      <c r="Q205" s="23" t="n"/>
      <c r="R205" s="17">
        <f>IF(Q205="","",Q205-TODAY())</f>
        <v/>
      </c>
      <c r="S205" s="20" t="n"/>
      <c r="T205" s="18">
        <f>IF(OR(S205="",N205&lt;&gt;"Paying"),"",IFERROR(INDEX(Plans!$B$2:$B$20,MATCH(S205,Plans!$A$2:$A$20,0)),""))</f>
        <v/>
      </c>
      <c r="U205" s="24" t="n"/>
    </row>
    <row r="206">
      <c r="A206" s="20" t="n"/>
      <c r="B206" s="20" t="n"/>
      <c r="C206" s="20" t="n"/>
      <c r="D206" s="20" t="n"/>
      <c r="E206" s="20" t="n"/>
      <c r="F206" s="20" t="n"/>
      <c r="G206" s="20" t="n"/>
      <c r="H206" s="21" t="n"/>
      <c r="I206" s="20" t="n"/>
      <c r="J206" s="20" t="n"/>
      <c r="K206" s="22" t="n"/>
      <c r="L206" s="20" t="n"/>
      <c r="M206" s="15">
        <f>IF(L206="","",IF(OR(L206="Voicemail",L206="No answer"),"High",IF(L206="Answering service","Medium","Low")))</f>
        <v/>
      </c>
      <c r="N206" s="20" t="n"/>
      <c r="O206" s="23" t="n"/>
      <c r="P206" s="20" t="n"/>
      <c r="Q206" s="23" t="n"/>
      <c r="R206" s="17">
        <f>IF(Q206="","",Q206-TODAY())</f>
        <v/>
      </c>
      <c r="S206" s="20" t="n"/>
      <c r="T206" s="18">
        <f>IF(OR(S206="",N206&lt;&gt;"Paying"),"",IFERROR(INDEX(Plans!$B$2:$B$20,MATCH(S206,Plans!$A$2:$A$20,0)),""))</f>
        <v/>
      </c>
      <c r="U206" s="24" t="n"/>
    </row>
    <row r="207">
      <c r="A207" s="20" t="n"/>
      <c r="B207" s="20" t="n"/>
      <c r="C207" s="20" t="n"/>
      <c r="D207" s="20" t="n"/>
      <c r="E207" s="20" t="n"/>
      <c r="F207" s="20" t="n"/>
      <c r="G207" s="20" t="n"/>
      <c r="H207" s="21" t="n"/>
      <c r="I207" s="20" t="n"/>
      <c r="J207" s="20" t="n"/>
      <c r="K207" s="22" t="n"/>
      <c r="L207" s="20" t="n"/>
      <c r="M207" s="15">
        <f>IF(L207="","",IF(OR(L207="Voicemail",L207="No answer"),"High",IF(L207="Answering service","Medium","Low")))</f>
        <v/>
      </c>
      <c r="N207" s="20" t="n"/>
      <c r="O207" s="23" t="n"/>
      <c r="P207" s="20" t="n"/>
      <c r="Q207" s="23" t="n"/>
      <c r="R207" s="17">
        <f>IF(Q207="","",Q207-TODAY())</f>
        <v/>
      </c>
      <c r="S207" s="20" t="n"/>
      <c r="T207" s="18">
        <f>IF(OR(S207="",N207&lt;&gt;"Paying"),"",IFERROR(INDEX(Plans!$B$2:$B$20,MATCH(S207,Plans!$A$2:$A$20,0)),""))</f>
        <v/>
      </c>
      <c r="U207" s="24" t="n"/>
    </row>
    <row r="208">
      <c r="A208" s="20" t="n"/>
      <c r="B208" s="20" t="n"/>
      <c r="C208" s="20" t="n"/>
      <c r="D208" s="20" t="n"/>
      <c r="E208" s="20" t="n"/>
      <c r="F208" s="20" t="n"/>
      <c r="G208" s="20" t="n"/>
      <c r="H208" s="21" t="n"/>
      <c r="I208" s="20" t="n"/>
      <c r="J208" s="20" t="n"/>
      <c r="K208" s="22" t="n"/>
      <c r="L208" s="20" t="n"/>
      <c r="M208" s="15">
        <f>IF(L208="","",IF(OR(L208="Voicemail",L208="No answer"),"High",IF(L208="Answering service","Medium","Low")))</f>
        <v/>
      </c>
      <c r="N208" s="20" t="n"/>
      <c r="O208" s="23" t="n"/>
      <c r="P208" s="20" t="n"/>
      <c r="Q208" s="23" t="n"/>
      <c r="R208" s="17">
        <f>IF(Q208="","",Q208-TODAY())</f>
        <v/>
      </c>
      <c r="S208" s="20" t="n"/>
      <c r="T208" s="18">
        <f>IF(OR(S208="",N208&lt;&gt;"Paying"),"",IFERROR(INDEX(Plans!$B$2:$B$20,MATCH(S208,Plans!$A$2:$A$20,0)),""))</f>
        <v/>
      </c>
      <c r="U208" s="24" t="n"/>
    </row>
    <row r="209">
      <c r="A209" s="20" t="n"/>
      <c r="B209" s="20" t="n"/>
      <c r="C209" s="20" t="n"/>
      <c r="D209" s="20" t="n"/>
      <c r="E209" s="20" t="n"/>
      <c r="F209" s="20" t="n"/>
      <c r="G209" s="20" t="n"/>
      <c r="H209" s="21" t="n"/>
      <c r="I209" s="20" t="n"/>
      <c r="J209" s="20" t="n"/>
      <c r="K209" s="22" t="n"/>
      <c r="L209" s="20" t="n"/>
      <c r="M209" s="15">
        <f>IF(L209="","",IF(OR(L209="Voicemail",L209="No answer"),"High",IF(L209="Answering service","Medium","Low")))</f>
        <v/>
      </c>
      <c r="N209" s="20" t="n"/>
      <c r="O209" s="23" t="n"/>
      <c r="P209" s="20" t="n"/>
      <c r="Q209" s="23" t="n"/>
      <c r="R209" s="17">
        <f>IF(Q209="","",Q209-TODAY())</f>
        <v/>
      </c>
      <c r="S209" s="20" t="n"/>
      <c r="T209" s="18">
        <f>IF(OR(S209="",N209&lt;&gt;"Paying"),"",IFERROR(INDEX(Plans!$B$2:$B$20,MATCH(S209,Plans!$A$2:$A$20,0)),""))</f>
        <v/>
      </c>
      <c r="U209" s="24" t="n"/>
    </row>
    <row r="210">
      <c r="A210" s="20" t="n"/>
      <c r="B210" s="20" t="n"/>
      <c r="C210" s="20" t="n"/>
      <c r="D210" s="20" t="n"/>
      <c r="E210" s="20" t="n"/>
      <c r="F210" s="20" t="n"/>
      <c r="G210" s="20" t="n"/>
      <c r="H210" s="21" t="n"/>
      <c r="I210" s="20" t="n"/>
      <c r="J210" s="20" t="n"/>
      <c r="K210" s="22" t="n"/>
      <c r="L210" s="20" t="n"/>
      <c r="M210" s="15">
        <f>IF(L210="","",IF(OR(L210="Voicemail",L210="No answer"),"High",IF(L210="Answering service","Medium","Low")))</f>
        <v/>
      </c>
      <c r="N210" s="20" t="n"/>
      <c r="O210" s="23" t="n"/>
      <c r="P210" s="20" t="n"/>
      <c r="Q210" s="23" t="n"/>
      <c r="R210" s="17">
        <f>IF(Q210="","",Q210-TODAY())</f>
        <v/>
      </c>
      <c r="S210" s="20" t="n"/>
      <c r="T210" s="18">
        <f>IF(OR(S210="",N210&lt;&gt;"Paying"),"",IFERROR(INDEX(Plans!$B$2:$B$20,MATCH(S210,Plans!$A$2:$A$20,0)),""))</f>
        <v/>
      </c>
      <c r="U210" s="24" t="n"/>
    </row>
    <row r="211">
      <c r="A211" s="20" t="n"/>
      <c r="B211" s="20" t="n"/>
      <c r="C211" s="20" t="n"/>
      <c r="D211" s="20" t="n"/>
      <c r="E211" s="20" t="n"/>
      <c r="F211" s="20" t="n"/>
      <c r="G211" s="20" t="n"/>
      <c r="H211" s="21" t="n"/>
      <c r="I211" s="20" t="n"/>
      <c r="J211" s="20" t="n"/>
      <c r="K211" s="22" t="n"/>
      <c r="L211" s="20" t="n"/>
      <c r="M211" s="15">
        <f>IF(L211="","",IF(OR(L211="Voicemail",L211="No answer"),"High",IF(L211="Answering service","Medium","Low")))</f>
        <v/>
      </c>
      <c r="N211" s="20" t="n"/>
      <c r="O211" s="23" t="n"/>
      <c r="P211" s="20" t="n"/>
      <c r="Q211" s="23" t="n"/>
      <c r="R211" s="17">
        <f>IF(Q211="","",Q211-TODAY())</f>
        <v/>
      </c>
      <c r="S211" s="20" t="n"/>
      <c r="T211" s="18">
        <f>IF(OR(S211="",N211&lt;&gt;"Paying"),"",IFERROR(INDEX(Plans!$B$2:$B$20,MATCH(S211,Plans!$A$2:$A$20,0)),""))</f>
        <v/>
      </c>
      <c r="U211" s="24" t="n"/>
    </row>
    <row r="212">
      <c r="A212" s="20" t="n"/>
      <c r="B212" s="20" t="n"/>
      <c r="C212" s="20" t="n"/>
      <c r="D212" s="20" t="n"/>
      <c r="E212" s="20" t="n"/>
      <c r="F212" s="20" t="n"/>
      <c r="G212" s="20" t="n"/>
      <c r="H212" s="21" t="n"/>
      <c r="I212" s="20" t="n"/>
      <c r="J212" s="20" t="n"/>
      <c r="K212" s="22" t="n"/>
      <c r="L212" s="20" t="n"/>
      <c r="M212" s="15">
        <f>IF(L212="","",IF(OR(L212="Voicemail",L212="No answer"),"High",IF(L212="Answering service","Medium","Low")))</f>
        <v/>
      </c>
      <c r="N212" s="20" t="n"/>
      <c r="O212" s="23" t="n"/>
      <c r="P212" s="20" t="n"/>
      <c r="Q212" s="23" t="n"/>
      <c r="R212" s="17">
        <f>IF(Q212="","",Q212-TODAY())</f>
        <v/>
      </c>
      <c r="S212" s="20" t="n"/>
      <c r="T212" s="18">
        <f>IF(OR(S212="",N212&lt;&gt;"Paying"),"",IFERROR(INDEX(Plans!$B$2:$B$20,MATCH(S212,Plans!$A$2:$A$20,0)),""))</f>
        <v/>
      </c>
      <c r="U212" s="24" t="n"/>
    </row>
    <row r="213">
      <c r="A213" s="20" t="n"/>
      <c r="B213" s="20" t="n"/>
      <c r="C213" s="20" t="n"/>
      <c r="D213" s="20" t="n"/>
      <c r="E213" s="20" t="n"/>
      <c r="F213" s="20" t="n"/>
      <c r="G213" s="20" t="n"/>
      <c r="H213" s="21" t="n"/>
      <c r="I213" s="20" t="n"/>
      <c r="J213" s="20" t="n"/>
      <c r="K213" s="22" t="n"/>
      <c r="L213" s="20" t="n"/>
      <c r="M213" s="15">
        <f>IF(L213="","",IF(OR(L213="Voicemail",L213="No answer"),"High",IF(L213="Answering service","Medium","Low")))</f>
        <v/>
      </c>
      <c r="N213" s="20" t="n"/>
      <c r="O213" s="23" t="n"/>
      <c r="P213" s="20" t="n"/>
      <c r="Q213" s="23" t="n"/>
      <c r="R213" s="17">
        <f>IF(Q213="","",Q213-TODAY())</f>
        <v/>
      </c>
      <c r="S213" s="20" t="n"/>
      <c r="T213" s="18">
        <f>IF(OR(S213="",N213&lt;&gt;"Paying"),"",IFERROR(INDEX(Plans!$B$2:$B$20,MATCH(S213,Plans!$A$2:$A$20,0)),""))</f>
        <v/>
      </c>
      <c r="U213" s="24" t="n"/>
    </row>
    <row r="214">
      <c r="A214" s="20" t="n"/>
      <c r="B214" s="20" t="n"/>
      <c r="C214" s="20" t="n"/>
      <c r="D214" s="20" t="n"/>
      <c r="E214" s="20" t="n"/>
      <c r="F214" s="20" t="n"/>
      <c r="G214" s="20" t="n"/>
      <c r="H214" s="21" t="n"/>
      <c r="I214" s="20" t="n"/>
      <c r="J214" s="20" t="n"/>
      <c r="K214" s="22" t="n"/>
      <c r="L214" s="20" t="n"/>
      <c r="M214" s="15">
        <f>IF(L214="","",IF(OR(L214="Voicemail",L214="No answer"),"High",IF(L214="Answering service","Medium","Low")))</f>
        <v/>
      </c>
      <c r="N214" s="20" t="n"/>
      <c r="O214" s="23" t="n"/>
      <c r="P214" s="20" t="n"/>
      <c r="Q214" s="23" t="n"/>
      <c r="R214" s="17">
        <f>IF(Q214="","",Q214-TODAY())</f>
        <v/>
      </c>
      <c r="S214" s="20" t="n"/>
      <c r="T214" s="18">
        <f>IF(OR(S214="",N214&lt;&gt;"Paying"),"",IFERROR(INDEX(Plans!$B$2:$B$20,MATCH(S214,Plans!$A$2:$A$20,0)),""))</f>
        <v/>
      </c>
      <c r="U214" s="24" t="n"/>
    </row>
    <row r="215">
      <c r="A215" s="20" t="n"/>
      <c r="B215" s="20" t="n"/>
      <c r="C215" s="20" t="n"/>
      <c r="D215" s="20" t="n"/>
      <c r="E215" s="20" t="n"/>
      <c r="F215" s="20" t="n"/>
      <c r="G215" s="20" t="n"/>
      <c r="H215" s="21" t="n"/>
      <c r="I215" s="20" t="n"/>
      <c r="J215" s="20" t="n"/>
      <c r="K215" s="22" t="n"/>
      <c r="L215" s="20" t="n"/>
      <c r="M215" s="15">
        <f>IF(L215="","",IF(OR(L215="Voicemail",L215="No answer"),"High",IF(L215="Answering service","Medium","Low")))</f>
        <v/>
      </c>
      <c r="N215" s="20" t="n"/>
      <c r="O215" s="23" t="n"/>
      <c r="P215" s="20" t="n"/>
      <c r="Q215" s="23" t="n"/>
      <c r="R215" s="17">
        <f>IF(Q215="","",Q215-TODAY())</f>
        <v/>
      </c>
      <c r="S215" s="20" t="n"/>
      <c r="T215" s="18">
        <f>IF(OR(S215="",N215&lt;&gt;"Paying"),"",IFERROR(INDEX(Plans!$B$2:$B$20,MATCH(S215,Plans!$A$2:$A$20,0)),""))</f>
        <v/>
      </c>
      <c r="U215" s="24" t="n"/>
    </row>
    <row r="216">
      <c r="A216" s="20" t="n"/>
      <c r="B216" s="20" t="n"/>
      <c r="C216" s="20" t="n"/>
      <c r="D216" s="20" t="n"/>
      <c r="E216" s="20" t="n"/>
      <c r="F216" s="20" t="n"/>
      <c r="G216" s="20" t="n"/>
      <c r="H216" s="21" t="n"/>
      <c r="I216" s="20" t="n"/>
      <c r="J216" s="20" t="n"/>
      <c r="K216" s="22" t="n"/>
      <c r="L216" s="20" t="n"/>
      <c r="M216" s="15">
        <f>IF(L216="","",IF(OR(L216="Voicemail",L216="No answer"),"High",IF(L216="Answering service","Medium","Low")))</f>
        <v/>
      </c>
      <c r="N216" s="20" t="n"/>
      <c r="O216" s="23" t="n"/>
      <c r="P216" s="20" t="n"/>
      <c r="Q216" s="23" t="n"/>
      <c r="R216" s="17">
        <f>IF(Q216="","",Q216-TODAY())</f>
        <v/>
      </c>
      <c r="S216" s="20" t="n"/>
      <c r="T216" s="18">
        <f>IF(OR(S216="",N216&lt;&gt;"Paying"),"",IFERROR(INDEX(Plans!$B$2:$B$20,MATCH(S216,Plans!$A$2:$A$20,0)),""))</f>
        <v/>
      </c>
      <c r="U216" s="24" t="n"/>
    </row>
    <row r="217">
      <c r="A217" s="20" t="n"/>
      <c r="B217" s="20" t="n"/>
      <c r="C217" s="20" t="n"/>
      <c r="D217" s="20" t="n"/>
      <c r="E217" s="20" t="n"/>
      <c r="F217" s="20" t="n"/>
      <c r="G217" s="20" t="n"/>
      <c r="H217" s="21" t="n"/>
      <c r="I217" s="20" t="n"/>
      <c r="J217" s="20" t="n"/>
      <c r="K217" s="22" t="n"/>
      <c r="L217" s="20" t="n"/>
      <c r="M217" s="15">
        <f>IF(L217="","",IF(OR(L217="Voicemail",L217="No answer"),"High",IF(L217="Answering service","Medium","Low")))</f>
        <v/>
      </c>
      <c r="N217" s="20" t="n"/>
      <c r="O217" s="23" t="n"/>
      <c r="P217" s="20" t="n"/>
      <c r="Q217" s="23" t="n"/>
      <c r="R217" s="17">
        <f>IF(Q217="","",Q217-TODAY())</f>
        <v/>
      </c>
      <c r="S217" s="20" t="n"/>
      <c r="T217" s="18">
        <f>IF(OR(S217="",N217&lt;&gt;"Paying"),"",IFERROR(INDEX(Plans!$B$2:$B$20,MATCH(S217,Plans!$A$2:$A$20,0)),""))</f>
        <v/>
      </c>
      <c r="U217" s="24" t="n"/>
    </row>
    <row r="218">
      <c r="A218" s="20" t="n"/>
      <c r="B218" s="20" t="n"/>
      <c r="C218" s="20" t="n"/>
      <c r="D218" s="20" t="n"/>
      <c r="E218" s="20" t="n"/>
      <c r="F218" s="20" t="n"/>
      <c r="G218" s="20" t="n"/>
      <c r="H218" s="21" t="n"/>
      <c r="I218" s="20" t="n"/>
      <c r="J218" s="20" t="n"/>
      <c r="K218" s="22" t="n"/>
      <c r="L218" s="20" t="n"/>
      <c r="M218" s="15">
        <f>IF(L218="","",IF(OR(L218="Voicemail",L218="No answer"),"High",IF(L218="Answering service","Medium","Low")))</f>
        <v/>
      </c>
      <c r="N218" s="20" t="n"/>
      <c r="O218" s="23" t="n"/>
      <c r="P218" s="20" t="n"/>
      <c r="Q218" s="23" t="n"/>
      <c r="R218" s="17">
        <f>IF(Q218="","",Q218-TODAY())</f>
        <v/>
      </c>
      <c r="S218" s="20" t="n"/>
      <c r="T218" s="18">
        <f>IF(OR(S218="",N218&lt;&gt;"Paying"),"",IFERROR(INDEX(Plans!$B$2:$B$20,MATCH(S218,Plans!$A$2:$A$20,0)),""))</f>
        <v/>
      </c>
      <c r="U218" s="24" t="n"/>
    </row>
    <row r="219">
      <c r="A219" s="20" t="n"/>
      <c r="B219" s="20" t="n"/>
      <c r="C219" s="20" t="n"/>
      <c r="D219" s="20" t="n"/>
      <c r="E219" s="20" t="n"/>
      <c r="F219" s="20" t="n"/>
      <c r="G219" s="20" t="n"/>
      <c r="H219" s="21" t="n"/>
      <c r="I219" s="20" t="n"/>
      <c r="J219" s="20" t="n"/>
      <c r="K219" s="22" t="n"/>
      <c r="L219" s="20" t="n"/>
      <c r="M219" s="15">
        <f>IF(L219="","",IF(OR(L219="Voicemail",L219="No answer"),"High",IF(L219="Answering service","Medium","Low")))</f>
        <v/>
      </c>
      <c r="N219" s="20" t="n"/>
      <c r="O219" s="23" t="n"/>
      <c r="P219" s="20" t="n"/>
      <c r="Q219" s="23" t="n"/>
      <c r="R219" s="17">
        <f>IF(Q219="","",Q219-TODAY())</f>
        <v/>
      </c>
      <c r="S219" s="20" t="n"/>
      <c r="T219" s="18">
        <f>IF(OR(S219="",N219&lt;&gt;"Paying"),"",IFERROR(INDEX(Plans!$B$2:$B$20,MATCH(S219,Plans!$A$2:$A$20,0)),""))</f>
        <v/>
      </c>
      <c r="U219" s="24" t="n"/>
    </row>
    <row r="220">
      <c r="A220" s="20" t="n"/>
      <c r="B220" s="20" t="n"/>
      <c r="C220" s="20" t="n"/>
      <c r="D220" s="20" t="n"/>
      <c r="E220" s="20" t="n"/>
      <c r="F220" s="20" t="n"/>
      <c r="G220" s="20" t="n"/>
      <c r="H220" s="21" t="n"/>
      <c r="I220" s="20" t="n"/>
      <c r="J220" s="20" t="n"/>
      <c r="K220" s="22" t="n"/>
      <c r="L220" s="20" t="n"/>
      <c r="M220" s="15">
        <f>IF(L220="","",IF(OR(L220="Voicemail",L220="No answer"),"High",IF(L220="Answering service","Medium","Low")))</f>
        <v/>
      </c>
      <c r="N220" s="20" t="n"/>
      <c r="O220" s="23" t="n"/>
      <c r="P220" s="20" t="n"/>
      <c r="Q220" s="23" t="n"/>
      <c r="R220" s="17">
        <f>IF(Q220="","",Q220-TODAY())</f>
        <v/>
      </c>
      <c r="S220" s="20" t="n"/>
      <c r="T220" s="18">
        <f>IF(OR(S220="",N220&lt;&gt;"Paying"),"",IFERROR(INDEX(Plans!$B$2:$B$20,MATCH(S220,Plans!$A$2:$A$20,0)),""))</f>
        <v/>
      </c>
      <c r="U220" s="24" t="n"/>
    </row>
    <row r="221">
      <c r="A221" s="20" t="n"/>
      <c r="B221" s="20" t="n"/>
      <c r="C221" s="20" t="n"/>
      <c r="D221" s="20" t="n"/>
      <c r="E221" s="20" t="n"/>
      <c r="F221" s="20" t="n"/>
      <c r="G221" s="20" t="n"/>
      <c r="H221" s="21" t="n"/>
      <c r="I221" s="20" t="n"/>
      <c r="J221" s="20" t="n"/>
      <c r="K221" s="22" t="n"/>
      <c r="L221" s="20" t="n"/>
      <c r="M221" s="15">
        <f>IF(L221="","",IF(OR(L221="Voicemail",L221="No answer"),"High",IF(L221="Answering service","Medium","Low")))</f>
        <v/>
      </c>
      <c r="N221" s="20" t="n"/>
      <c r="O221" s="23" t="n"/>
      <c r="P221" s="20" t="n"/>
      <c r="Q221" s="23" t="n"/>
      <c r="R221" s="17">
        <f>IF(Q221="","",Q221-TODAY())</f>
        <v/>
      </c>
      <c r="S221" s="20" t="n"/>
      <c r="T221" s="18">
        <f>IF(OR(S221="",N221&lt;&gt;"Paying"),"",IFERROR(INDEX(Plans!$B$2:$B$20,MATCH(S221,Plans!$A$2:$A$20,0)),""))</f>
        <v/>
      </c>
      <c r="U221" s="24" t="n"/>
    </row>
    <row r="222">
      <c r="A222" s="20" t="n"/>
      <c r="B222" s="20" t="n"/>
      <c r="C222" s="20" t="n"/>
      <c r="D222" s="20" t="n"/>
      <c r="E222" s="20" t="n"/>
      <c r="F222" s="20" t="n"/>
      <c r="G222" s="20" t="n"/>
      <c r="H222" s="21" t="n"/>
      <c r="I222" s="20" t="n"/>
      <c r="J222" s="20" t="n"/>
      <c r="K222" s="22" t="n"/>
      <c r="L222" s="20" t="n"/>
      <c r="M222" s="15">
        <f>IF(L222="","",IF(OR(L222="Voicemail",L222="No answer"),"High",IF(L222="Answering service","Medium","Low")))</f>
        <v/>
      </c>
      <c r="N222" s="20" t="n"/>
      <c r="O222" s="23" t="n"/>
      <c r="P222" s="20" t="n"/>
      <c r="Q222" s="23" t="n"/>
      <c r="R222" s="17">
        <f>IF(Q222="","",Q222-TODAY())</f>
        <v/>
      </c>
      <c r="S222" s="20" t="n"/>
      <c r="T222" s="18">
        <f>IF(OR(S222="",N222&lt;&gt;"Paying"),"",IFERROR(INDEX(Plans!$B$2:$B$20,MATCH(S222,Plans!$A$2:$A$20,0)),""))</f>
        <v/>
      </c>
      <c r="U222" s="24" t="n"/>
    </row>
    <row r="223">
      <c r="A223" s="20" t="n"/>
      <c r="B223" s="20" t="n"/>
      <c r="C223" s="20" t="n"/>
      <c r="D223" s="20" t="n"/>
      <c r="E223" s="20" t="n"/>
      <c r="F223" s="20" t="n"/>
      <c r="G223" s="20" t="n"/>
      <c r="H223" s="21" t="n"/>
      <c r="I223" s="20" t="n"/>
      <c r="J223" s="20" t="n"/>
      <c r="K223" s="22" t="n"/>
      <c r="L223" s="20" t="n"/>
      <c r="M223" s="15">
        <f>IF(L223="","",IF(OR(L223="Voicemail",L223="No answer"),"High",IF(L223="Answering service","Medium","Low")))</f>
        <v/>
      </c>
      <c r="N223" s="20" t="n"/>
      <c r="O223" s="23" t="n"/>
      <c r="P223" s="20" t="n"/>
      <c r="Q223" s="23" t="n"/>
      <c r="R223" s="17">
        <f>IF(Q223="","",Q223-TODAY())</f>
        <v/>
      </c>
      <c r="S223" s="20" t="n"/>
      <c r="T223" s="18">
        <f>IF(OR(S223="",N223&lt;&gt;"Paying"),"",IFERROR(INDEX(Plans!$B$2:$B$20,MATCH(S223,Plans!$A$2:$A$20,0)),""))</f>
        <v/>
      </c>
      <c r="U223" s="24" t="n"/>
    </row>
    <row r="224">
      <c r="A224" s="20" t="n"/>
      <c r="B224" s="20" t="n"/>
      <c r="C224" s="20" t="n"/>
      <c r="D224" s="20" t="n"/>
      <c r="E224" s="20" t="n"/>
      <c r="F224" s="20" t="n"/>
      <c r="G224" s="20" t="n"/>
      <c r="H224" s="21" t="n"/>
      <c r="I224" s="20" t="n"/>
      <c r="J224" s="20" t="n"/>
      <c r="K224" s="22" t="n"/>
      <c r="L224" s="20" t="n"/>
      <c r="M224" s="15">
        <f>IF(L224="","",IF(OR(L224="Voicemail",L224="No answer"),"High",IF(L224="Answering service","Medium","Low")))</f>
        <v/>
      </c>
      <c r="N224" s="20" t="n"/>
      <c r="O224" s="23" t="n"/>
      <c r="P224" s="20" t="n"/>
      <c r="Q224" s="23" t="n"/>
      <c r="R224" s="17">
        <f>IF(Q224="","",Q224-TODAY())</f>
        <v/>
      </c>
      <c r="S224" s="20" t="n"/>
      <c r="T224" s="18">
        <f>IF(OR(S224="",N224&lt;&gt;"Paying"),"",IFERROR(INDEX(Plans!$B$2:$B$20,MATCH(S224,Plans!$A$2:$A$20,0)),""))</f>
        <v/>
      </c>
      <c r="U224" s="24" t="n"/>
    </row>
    <row r="225">
      <c r="A225" s="20" t="n"/>
      <c r="B225" s="20" t="n"/>
      <c r="C225" s="20" t="n"/>
      <c r="D225" s="20" t="n"/>
      <c r="E225" s="20" t="n"/>
      <c r="F225" s="20" t="n"/>
      <c r="G225" s="20" t="n"/>
      <c r="H225" s="21" t="n"/>
      <c r="I225" s="20" t="n"/>
      <c r="J225" s="20" t="n"/>
      <c r="K225" s="22" t="n"/>
      <c r="L225" s="20" t="n"/>
      <c r="M225" s="15">
        <f>IF(L225="","",IF(OR(L225="Voicemail",L225="No answer"),"High",IF(L225="Answering service","Medium","Low")))</f>
        <v/>
      </c>
      <c r="N225" s="20" t="n"/>
      <c r="O225" s="23" t="n"/>
      <c r="P225" s="20" t="n"/>
      <c r="Q225" s="23" t="n"/>
      <c r="R225" s="17">
        <f>IF(Q225="","",Q225-TODAY())</f>
        <v/>
      </c>
      <c r="S225" s="20" t="n"/>
      <c r="T225" s="18">
        <f>IF(OR(S225="",N225&lt;&gt;"Paying"),"",IFERROR(INDEX(Plans!$B$2:$B$20,MATCH(S225,Plans!$A$2:$A$20,0)),""))</f>
        <v/>
      </c>
      <c r="U225" s="24" t="n"/>
    </row>
    <row r="226">
      <c r="A226" s="20" t="n"/>
      <c r="B226" s="20" t="n"/>
      <c r="C226" s="20" t="n"/>
      <c r="D226" s="20" t="n"/>
      <c r="E226" s="20" t="n"/>
      <c r="F226" s="20" t="n"/>
      <c r="G226" s="20" t="n"/>
      <c r="H226" s="21" t="n"/>
      <c r="I226" s="20" t="n"/>
      <c r="J226" s="20" t="n"/>
      <c r="K226" s="22" t="n"/>
      <c r="L226" s="20" t="n"/>
      <c r="M226" s="15">
        <f>IF(L226="","",IF(OR(L226="Voicemail",L226="No answer"),"High",IF(L226="Answering service","Medium","Low")))</f>
        <v/>
      </c>
      <c r="N226" s="20" t="n"/>
      <c r="O226" s="23" t="n"/>
      <c r="P226" s="20" t="n"/>
      <c r="Q226" s="23" t="n"/>
      <c r="R226" s="17">
        <f>IF(Q226="","",Q226-TODAY())</f>
        <v/>
      </c>
      <c r="S226" s="20" t="n"/>
      <c r="T226" s="18">
        <f>IF(OR(S226="",N226&lt;&gt;"Paying"),"",IFERROR(INDEX(Plans!$B$2:$B$20,MATCH(S226,Plans!$A$2:$A$20,0)),""))</f>
        <v/>
      </c>
      <c r="U226" s="24" t="n"/>
    </row>
    <row r="227">
      <c r="A227" s="20" t="n"/>
      <c r="B227" s="20" t="n"/>
      <c r="C227" s="20" t="n"/>
      <c r="D227" s="20" t="n"/>
      <c r="E227" s="20" t="n"/>
      <c r="F227" s="20" t="n"/>
      <c r="G227" s="20" t="n"/>
      <c r="H227" s="21" t="n"/>
      <c r="I227" s="20" t="n"/>
      <c r="J227" s="20" t="n"/>
      <c r="K227" s="22" t="n"/>
      <c r="L227" s="20" t="n"/>
      <c r="M227" s="15">
        <f>IF(L227="","",IF(OR(L227="Voicemail",L227="No answer"),"High",IF(L227="Answering service","Medium","Low")))</f>
        <v/>
      </c>
      <c r="N227" s="20" t="n"/>
      <c r="O227" s="23" t="n"/>
      <c r="P227" s="20" t="n"/>
      <c r="Q227" s="23" t="n"/>
      <c r="R227" s="17">
        <f>IF(Q227="","",Q227-TODAY())</f>
        <v/>
      </c>
      <c r="S227" s="20" t="n"/>
      <c r="T227" s="18">
        <f>IF(OR(S227="",N227&lt;&gt;"Paying"),"",IFERROR(INDEX(Plans!$B$2:$B$20,MATCH(S227,Plans!$A$2:$A$20,0)),""))</f>
        <v/>
      </c>
      <c r="U227" s="24" t="n"/>
    </row>
    <row r="228">
      <c r="A228" s="20" t="n"/>
      <c r="B228" s="20" t="n"/>
      <c r="C228" s="20" t="n"/>
      <c r="D228" s="20" t="n"/>
      <c r="E228" s="20" t="n"/>
      <c r="F228" s="20" t="n"/>
      <c r="G228" s="20" t="n"/>
      <c r="H228" s="21" t="n"/>
      <c r="I228" s="20" t="n"/>
      <c r="J228" s="20" t="n"/>
      <c r="K228" s="22" t="n"/>
      <c r="L228" s="20" t="n"/>
      <c r="M228" s="15">
        <f>IF(L228="","",IF(OR(L228="Voicemail",L228="No answer"),"High",IF(L228="Answering service","Medium","Low")))</f>
        <v/>
      </c>
      <c r="N228" s="20" t="n"/>
      <c r="O228" s="23" t="n"/>
      <c r="P228" s="20" t="n"/>
      <c r="Q228" s="23" t="n"/>
      <c r="R228" s="17">
        <f>IF(Q228="","",Q228-TODAY())</f>
        <v/>
      </c>
      <c r="S228" s="20" t="n"/>
      <c r="T228" s="18">
        <f>IF(OR(S228="",N228&lt;&gt;"Paying"),"",IFERROR(INDEX(Plans!$B$2:$B$20,MATCH(S228,Plans!$A$2:$A$20,0)),""))</f>
        <v/>
      </c>
      <c r="U228" s="24" t="n"/>
    </row>
    <row r="229">
      <c r="A229" s="20" t="n"/>
      <c r="B229" s="20" t="n"/>
      <c r="C229" s="20" t="n"/>
      <c r="D229" s="20" t="n"/>
      <c r="E229" s="20" t="n"/>
      <c r="F229" s="20" t="n"/>
      <c r="G229" s="20" t="n"/>
      <c r="H229" s="21" t="n"/>
      <c r="I229" s="20" t="n"/>
      <c r="J229" s="20" t="n"/>
      <c r="K229" s="22" t="n"/>
      <c r="L229" s="20" t="n"/>
      <c r="M229" s="15">
        <f>IF(L229="","",IF(OR(L229="Voicemail",L229="No answer"),"High",IF(L229="Answering service","Medium","Low")))</f>
        <v/>
      </c>
      <c r="N229" s="20" t="n"/>
      <c r="O229" s="23" t="n"/>
      <c r="P229" s="20" t="n"/>
      <c r="Q229" s="23" t="n"/>
      <c r="R229" s="17">
        <f>IF(Q229="","",Q229-TODAY())</f>
        <v/>
      </c>
      <c r="S229" s="20" t="n"/>
      <c r="T229" s="18">
        <f>IF(OR(S229="",N229&lt;&gt;"Paying"),"",IFERROR(INDEX(Plans!$B$2:$B$20,MATCH(S229,Plans!$A$2:$A$20,0)),""))</f>
        <v/>
      </c>
      <c r="U229" s="24" t="n"/>
    </row>
    <row r="230">
      <c r="A230" s="20" t="n"/>
      <c r="B230" s="20" t="n"/>
      <c r="C230" s="20" t="n"/>
      <c r="D230" s="20" t="n"/>
      <c r="E230" s="20" t="n"/>
      <c r="F230" s="20" t="n"/>
      <c r="G230" s="20" t="n"/>
      <c r="H230" s="21" t="n"/>
      <c r="I230" s="20" t="n"/>
      <c r="J230" s="20" t="n"/>
      <c r="K230" s="22" t="n"/>
      <c r="L230" s="20" t="n"/>
      <c r="M230" s="15">
        <f>IF(L230="","",IF(OR(L230="Voicemail",L230="No answer"),"High",IF(L230="Answering service","Medium","Low")))</f>
        <v/>
      </c>
      <c r="N230" s="20" t="n"/>
      <c r="O230" s="23" t="n"/>
      <c r="P230" s="20" t="n"/>
      <c r="Q230" s="23" t="n"/>
      <c r="R230" s="17">
        <f>IF(Q230="","",Q230-TODAY())</f>
        <v/>
      </c>
      <c r="S230" s="20" t="n"/>
      <c r="T230" s="18">
        <f>IF(OR(S230="",N230&lt;&gt;"Paying"),"",IFERROR(INDEX(Plans!$B$2:$B$20,MATCH(S230,Plans!$A$2:$A$20,0)),""))</f>
        <v/>
      </c>
      <c r="U230" s="24" t="n"/>
    </row>
    <row r="231">
      <c r="A231" s="20" t="n"/>
      <c r="B231" s="20" t="n"/>
      <c r="C231" s="20" t="n"/>
      <c r="D231" s="20" t="n"/>
      <c r="E231" s="20" t="n"/>
      <c r="F231" s="20" t="n"/>
      <c r="G231" s="20" t="n"/>
      <c r="H231" s="21" t="n"/>
      <c r="I231" s="20" t="n"/>
      <c r="J231" s="20" t="n"/>
      <c r="K231" s="22" t="n"/>
      <c r="L231" s="20" t="n"/>
      <c r="M231" s="15">
        <f>IF(L231="","",IF(OR(L231="Voicemail",L231="No answer"),"High",IF(L231="Answering service","Medium","Low")))</f>
        <v/>
      </c>
      <c r="N231" s="20" t="n"/>
      <c r="O231" s="23" t="n"/>
      <c r="P231" s="20" t="n"/>
      <c r="Q231" s="23" t="n"/>
      <c r="R231" s="17">
        <f>IF(Q231="","",Q231-TODAY())</f>
        <v/>
      </c>
      <c r="S231" s="20" t="n"/>
      <c r="T231" s="18">
        <f>IF(OR(S231="",N231&lt;&gt;"Paying"),"",IFERROR(INDEX(Plans!$B$2:$B$20,MATCH(S231,Plans!$A$2:$A$20,0)),""))</f>
        <v/>
      </c>
      <c r="U231" s="24" t="n"/>
    </row>
    <row r="232">
      <c r="A232" s="20" t="n"/>
      <c r="B232" s="20" t="n"/>
      <c r="C232" s="20" t="n"/>
      <c r="D232" s="20" t="n"/>
      <c r="E232" s="20" t="n"/>
      <c r="F232" s="20" t="n"/>
      <c r="G232" s="20" t="n"/>
      <c r="H232" s="21" t="n"/>
      <c r="I232" s="20" t="n"/>
      <c r="J232" s="20" t="n"/>
      <c r="K232" s="22" t="n"/>
      <c r="L232" s="20" t="n"/>
      <c r="M232" s="15">
        <f>IF(L232="","",IF(OR(L232="Voicemail",L232="No answer"),"High",IF(L232="Answering service","Medium","Low")))</f>
        <v/>
      </c>
      <c r="N232" s="20" t="n"/>
      <c r="O232" s="23" t="n"/>
      <c r="P232" s="20" t="n"/>
      <c r="Q232" s="23" t="n"/>
      <c r="R232" s="17">
        <f>IF(Q232="","",Q232-TODAY())</f>
        <v/>
      </c>
      <c r="S232" s="20" t="n"/>
      <c r="T232" s="18">
        <f>IF(OR(S232="",N232&lt;&gt;"Paying"),"",IFERROR(INDEX(Plans!$B$2:$B$20,MATCH(S232,Plans!$A$2:$A$20,0)),""))</f>
        <v/>
      </c>
      <c r="U232" s="24" t="n"/>
    </row>
    <row r="233">
      <c r="A233" s="20" t="n"/>
      <c r="B233" s="20" t="n"/>
      <c r="C233" s="20" t="n"/>
      <c r="D233" s="20" t="n"/>
      <c r="E233" s="20" t="n"/>
      <c r="F233" s="20" t="n"/>
      <c r="G233" s="20" t="n"/>
      <c r="H233" s="21" t="n"/>
      <c r="I233" s="20" t="n"/>
      <c r="J233" s="20" t="n"/>
      <c r="K233" s="22" t="n"/>
      <c r="L233" s="20" t="n"/>
      <c r="M233" s="15">
        <f>IF(L233="","",IF(OR(L233="Voicemail",L233="No answer"),"High",IF(L233="Answering service","Medium","Low")))</f>
        <v/>
      </c>
      <c r="N233" s="20" t="n"/>
      <c r="O233" s="23" t="n"/>
      <c r="P233" s="20" t="n"/>
      <c r="Q233" s="23" t="n"/>
      <c r="R233" s="17">
        <f>IF(Q233="","",Q233-TODAY())</f>
        <v/>
      </c>
      <c r="S233" s="20" t="n"/>
      <c r="T233" s="18">
        <f>IF(OR(S233="",N233&lt;&gt;"Paying"),"",IFERROR(INDEX(Plans!$B$2:$B$20,MATCH(S233,Plans!$A$2:$A$20,0)),""))</f>
        <v/>
      </c>
      <c r="U233" s="24" t="n"/>
    </row>
    <row r="234">
      <c r="A234" s="20" t="n"/>
      <c r="B234" s="20" t="n"/>
      <c r="C234" s="20" t="n"/>
      <c r="D234" s="20" t="n"/>
      <c r="E234" s="20" t="n"/>
      <c r="F234" s="20" t="n"/>
      <c r="G234" s="20" t="n"/>
      <c r="H234" s="21" t="n"/>
      <c r="I234" s="20" t="n"/>
      <c r="J234" s="20" t="n"/>
      <c r="K234" s="22" t="n"/>
      <c r="L234" s="20" t="n"/>
      <c r="M234" s="15">
        <f>IF(L234="","",IF(OR(L234="Voicemail",L234="No answer"),"High",IF(L234="Answering service","Medium","Low")))</f>
        <v/>
      </c>
      <c r="N234" s="20" t="n"/>
      <c r="O234" s="23" t="n"/>
      <c r="P234" s="20" t="n"/>
      <c r="Q234" s="23" t="n"/>
      <c r="R234" s="17">
        <f>IF(Q234="","",Q234-TODAY())</f>
        <v/>
      </c>
      <c r="S234" s="20" t="n"/>
      <c r="T234" s="18">
        <f>IF(OR(S234="",N234&lt;&gt;"Paying"),"",IFERROR(INDEX(Plans!$B$2:$B$20,MATCH(S234,Plans!$A$2:$A$20,0)),""))</f>
        <v/>
      </c>
      <c r="U234" s="24" t="n"/>
    </row>
    <row r="235">
      <c r="A235" s="20" t="n"/>
      <c r="B235" s="20" t="n"/>
      <c r="C235" s="20" t="n"/>
      <c r="D235" s="20" t="n"/>
      <c r="E235" s="20" t="n"/>
      <c r="F235" s="20" t="n"/>
      <c r="G235" s="20" t="n"/>
      <c r="H235" s="21" t="n"/>
      <c r="I235" s="20" t="n"/>
      <c r="J235" s="20" t="n"/>
      <c r="K235" s="22" t="n"/>
      <c r="L235" s="20" t="n"/>
      <c r="M235" s="15">
        <f>IF(L235="","",IF(OR(L235="Voicemail",L235="No answer"),"High",IF(L235="Answering service","Medium","Low")))</f>
        <v/>
      </c>
      <c r="N235" s="20" t="n"/>
      <c r="O235" s="23" t="n"/>
      <c r="P235" s="20" t="n"/>
      <c r="Q235" s="23" t="n"/>
      <c r="R235" s="17">
        <f>IF(Q235="","",Q235-TODAY())</f>
        <v/>
      </c>
      <c r="S235" s="20" t="n"/>
      <c r="T235" s="18">
        <f>IF(OR(S235="",N235&lt;&gt;"Paying"),"",IFERROR(INDEX(Plans!$B$2:$B$20,MATCH(S235,Plans!$A$2:$A$20,0)),""))</f>
        <v/>
      </c>
      <c r="U235" s="24" t="n"/>
    </row>
    <row r="236">
      <c r="A236" s="20" t="n"/>
      <c r="B236" s="20" t="n"/>
      <c r="C236" s="20" t="n"/>
      <c r="D236" s="20" t="n"/>
      <c r="E236" s="20" t="n"/>
      <c r="F236" s="20" t="n"/>
      <c r="G236" s="20" t="n"/>
      <c r="H236" s="21" t="n"/>
      <c r="I236" s="20" t="n"/>
      <c r="J236" s="20" t="n"/>
      <c r="K236" s="22" t="n"/>
      <c r="L236" s="20" t="n"/>
      <c r="M236" s="15">
        <f>IF(L236="","",IF(OR(L236="Voicemail",L236="No answer"),"High",IF(L236="Answering service","Medium","Low")))</f>
        <v/>
      </c>
      <c r="N236" s="20" t="n"/>
      <c r="O236" s="23" t="n"/>
      <c r="P236" s="20" t="n"/>
      <c r="Q236" s="23" t="n"/>
      <c r="R236" s="17">
        <f>IF(Q236="","",Q236-TODAY())</f>
        <v/>
      </c>
      <c r="S236" s="20" t="n"/>
      <c r="T236" s="18">
        <f>IF(OR(S236="",N236&lt;&gt;"Paying"),"",IFERROR(INDEX(Plans!$B$2:$B$20,MATCH(S236,Plans!$A$2:$A$20,0)),""))</f>
        <v/>
      </c>
      <c r="U236" s="24" t="n"/>
    </row>
    <row r="237">
      <c r="A237" s="20" t="n"/>
      <c r="B237" s="20" t="n"/>
      <c r="C237" s="20" t="n"/>
      <c r="D237" s="20" t="n"/>
      <c r="E237" s="20" t="n"/>
      <c r="F237" s="20" t="n"/>
      <c r="G237" s="20" t="n"/>
      <c r="H237" s="21" t="n"/>
      <c r="I237" s="20" t="n"/>
      <c r="J237" s="20" t="n"/>
      <c r="K237" s="22" t="n"/>
      <c r="L237" s="20" t="n"/>
      <c r="M237" s="15">
        <f>IF(L237="","",IF(OR(L237="Voicemail",L237="No answer"),"High",IF(L237="Answering service","Medium","Low")))</f>
        <v/>
      </c>
      <c r="N237" s="20" t="n"/>
      <c r="O237" s="23" t="n"/>
      <c r="P237" s="20" t="n"/>
      <c r="Q237" s="23" t="n"/>
      <c r="R237" s="17">
        <f>IF(Q237="","",Q237-TODAY())</f>
        <v/>
      </c>
      <c r="S237" s="20" t="n"/>
      <c r="T237" s="18">
        <f>IF(OR(S237="",N237&lt;&gt;"Paying"),"",IFERROR(INDEX(Plans!$B$2:$B$20,MATCH(S237,Plans!$A$2:$A$20,0)),""))</f>
        <v/>
      </c>
      <c r="U237" s="24" t="n"/>
    </row>
    <row r="238">
      <c r="A238" s="20" t="n"/>
      <c r="B238" s="20" t="n"/>
      <c r="C238" s="20" t="n"/>
      <c r="D238" s="20" t="n"/>
      <c r="E238" s="20" t="n"/>
      <c r="F238" s="20" t="n"/>
      <c r="G238" s="20" t="n"/>
      <c r="H238" s="21" t="n"/>
      <c r="I238" s="20" t="n"/>
      <c r="J238" s="20" t="n"/>
      <c r="K238" s="22" t="n"/>
      <c r="L238" s="20" t="n"/>
      <c r="M238" s="15">
        <f>IF(L238="","",IF(OR(L238="Voicemail",L238="No answer"),"High",IF(L238="Answering service","Medium","Low")))</f>
        <v/>
      </c>
      <c r="N238" s="20" t="n"/>
      <c r="O238" s="23" t="n"/>
      <c r="P238" s="20" t="n"/>
      <c r="Q238" s="23" t="n"/>
      <c r="R238" s="17">
        <f>IF(Q238="","",Q238-TODAY())</f>
        <v/>
      </c>
      <c r="S238" s="20" t="n"/>
      <c r="T238" s="18">
        <f>IF(OR(S238="",N238&lt;&gt;"Paying"),"",IFERROR(INDEX(Plans!$B$2:$B$20,MATCH(S238,Plans!$A$2:$A$20,0)),""))</f>
        <v/>
      </c>
      <c r="U238" s="24" t="n"/>
    </row>
    <row r="239">
      <c r="A239" s="20" t="n"/>
      <c r="B239" s="20" t="n"/>
      <c r="C239" s="20" t="n"/>
      <c r="D239" s="20" t="n"/>
      <c r="E239" s="20" t="n"/>
      <c r="F239" s="20" t="n"/>
      <c r="G239" s="20" t="n"/>
      <c r="H239" s="21" t="n"/>
      <c r="I239" s="20" t="n"/>
      <c r="J239" s="20" t="n"/>
      <c r="K239" s="22" t="n"/>
      <c r="L239" s="20" t="n"/>
      <c r="M239" s="15">
        <f>IF(L239="","",IF(OR(L239="Voicemail",L239="No answer"),"High",IF(L239="Answering service","Medium","Low")))</f>
        <v/>
      </c>
      <c r="N239" s="20" t="n"/>
      <c r="O239" s="23" t="n"/>
      <c r="P239" s="20" t="n"/>
      <c r="Q239" s="23" t="n"/>
      <c r="R239" s="17">
        <f>IF(Q239="","",Q239-TODAY())</f>
        <v/>
      </c>
      <c r="S239" s="20" t="n"/>
      <c r="T239" s="18">
        <f>IF(OR(S239="",N239&lt;&gt;"Paying"),"",IFERROR(INDEX(Plans!$B$2:$B$20,MATCH(S239,Plans!$A$2:$A$20,0)),""))</f>
        <v/>
      </c>
      <c r="U239" s="24" t="n"/>
    </row>
    <row r="240">
      <c r="A240" s="20" t="n"/>
      <c r="B240" s="20" t="n"/>
      <c r="C240" s="20" t="n"/>
      <c r="D240" s="20" t="n"/>
      <c r="E240" s="20" t="n"/>
      <c r="F240" s="20" t="n"/>
      <c r="G240" s="20" t="n"/>
      <c r="H240" s="21" t="n"/>
      <c r="I240" s="20" t="n"/>
      <c r="J240" s="20" t="n"/>
      <c r="K240" s="22" t="n"/>
      <c r="L240" s="20" t="n"/>
      <c r="M240" s="15">
        <f>IF(L240="","",IF(OR(L240="Voicemail",L240="No answer"),"High",IF(L240="Answering service","Medium","Low")))</f>
        <v/>
      </c>
      <c r="N240" s="20" t="n"/>
      <c r="O240" s="23" t="n"/>
      <c r="P240" s="20" t="n"/>
      <c r="Q240" s="23" t="n"/>
      <c r="R240" s="17">
        <f>IF(Q240="","",Q240-TODAY())</f>
        <v/>
      </c>
      <c r="S240" s="20" t="n"/>
      <c r="T240" s="18">
        <f>IF(OR(S240="",N240&lt;&gt;"Paying"),"",IFERROR(INDEX(Plans!$B$2:$B$20,MATCH(S240,Plans!$A$2:$A$20,0)),""))</f>
        <v/>
      </c>
      <c r="U240" s="24" t="n"/>
    </row>
    <row r="241">
      <c r="A241" s="20" t="n"/>
      <c r="B241" s="20" t="n"/>
      <c r="C241" s="20" t="n"/>
      <c r="D241" s="20" t="n"/>
      <c r="E241" s="20" t="n"/>
      <c r="F241" s="20" t="n"/>
      <c r="G241" s="20" t="n"/>
      <c r="H241" s="21" t="n"/>
      <c r="I241" s="20" t="n"/>
      <c r="J241" s="20" t="n"/>
      <c r="K241" s="22" t="n"/>
      <c r="L241" s="20" t="n"/>
      <c r="M241" s="15">
        <f>IF(L241="","",IF(OR(L241="Voicemail",L241="No answer"),"High",IF(L241="Answering service","Medium","Low")))</f>
        <v/>
      </c>
      <c r="N241" s="20" t="n"/>
      <c r="O241" s="23" t="n"/>
      <c r="P241" s="20" t="n"/>
      <c r="Q241" s="23" t="n"/>
      <c r="R241" s="17">
        <f>IF(Q241="","",Q241-TODAY())</f>
        <v/>
      </c>
      <c r="S241" s="20" t="n"/>
      <c r="T241" s="18">
        <f>IF(OR(S241="",N241&lt;&gt;"Paying"),"",IFERROR(INDEX(Plans!$B$2:$B$20,MATCH(S241,Plans!$A$2:$A$20,0)),""))</f>
        <v/>
      </c>
      <c r="U241" s="24" t="n"/>
    </row>
    <row r="242">
      <c r="A242" s="20" t="n"/>
      <c r="B242" s="20" t="n"/>
      <c r="C242" s="20" t="n"/>
      <c r="D242" s="20" t="n"/>
      <c r="E242" s="20" t="n"/>
      <c r="F242" s="20" t="n"/>
      <c r="G242" s="20" t="n"/>
      <c r="H242" s="21" t="n"/>
      <c r="I242" s="20" t="n"/>
      <c r="J242" s="20" t="n"/>
      <c r="K242" s="22" t="n"/>
      <c r="L242" s="20" t="n"/>
      <c r="M242" s="15">
        <f>IF(L242="","",IF(OR(L242="Voicemail",L242="No answer"),"High",IF(L242="Answering service","Medium","Low")))</f>
        <v/>
      </c>
      <c r="N242" s="20" t="n"/>
      <c r="O242" s="23" t="n"/>
      <c r="P242" s="20" t="n"/>
      <c r="Q242" s="23" t="n"/>
      <c r="R242" s="17">
        <f>IF(Q242="","",Q242-TODAY())</f>
        <v/>
      </c>
      <c r="S242" s="20" t="n"/>
      <c r="T242" s="18">
        <f>IF(OR(S242="",N242&lt;&gt;"Paying"),"",IFERROR(INDEX(Plans!$B$2:$B$20,MATCH(S242,Plans!$A$2:$A$20,0)),""))</f>
        <v/>
      </c>
      <c r="U242" s="24" t="n"/>
    </row>
    <row r="243">
      <c r="A243" s="20" t="n"/>
      <c r="B243" s="20" t="n"/>
      <c r="C243" s="20" t="n"/>
      <c r="D243" s="20" t="n"/>
      <c r="E243" s="20" t="n"/>
      <c r="F243" s="20" t="n"/>
      <c r="G243" s="20" t="n"/>
      <c r="H243" s="21" t="n"/>
      <c r="I243" s="20" t="n"/>
      <c r="J243" s="20" t="n"/>
      <c r="K243" s="22" t="n"/>
      <c r="L243" s="20" t="n"/>
      <c r="M243" s="15">
        <f>IF(L243="","",IF(OR(L243="Voicemail",L243="No answer"),"High",IF(L243="Answering service","Medium","Low")))</f>
        <v/>
      </c>
      <c r="N243" s="20" t="n"/>
      <c r="O243" s="23" t="n"/>
      <c r="P243" s="20" t="n"/>
      <c r="Q243" s="23" t="n"/>
      <c r="R243" s="17">
        <f>IF(Q243="","",Q243-TODAY())</f>
        <v/>
      </c>
      <c r="S243" s="20" t="n"/>
      <c r="T243" s="18">
        <f>IF(OR(S243="",N243&lt;&gt;"Paying"),"",IFERROR(INDEX(Plans!$B$2:$B$20,MATCH(S243,Plans!$A$2:$A$20,0)),""))</f>
        <v/>
      </c>
      <c r="U243" s="24" t="n"/>
    </row>
    <row r="244">
      <c r="A244" s="20" t="n"/>
      <c r="B244" s="20" t="n"/>
      <c r="C244" s="20" t="n"/>
      <c r="D244" s="20" t="n"/>
      <c r="E244" s="20" t="n"/>
      <c r="F244" s="20" t="n"/>
      <c r="G244" s="20" t="n"/>
      <c r="H244" s="21" t="n"/>
      <c r="I244" s="20" t="n"/>
      <c r="J244" s="20" t="n"/>
      <c r="K244" s="22" t="n"/>
      <c r="L244" s="20" t="n"/>
      <c r="M244" s="15">
        <f>IF(L244="","",IF(OR(L244="Voicemail",L244="No answer"),"High",IF(L244="Answering service","Medium","Low")))</f>
        <v/>
      </c>
      <c r="N244" s="20" t="n"/>
      <c r="O244" s="23" t="n"/>
      <c r="P244" s="20" t="n"/>
      <c r="Q244" s="23" t="n"/>
      <c r="R244" s="17">
        <f>IF(Q244="","",Q244-TODAY())</f>
        <v/>
      </c>
      <c r="S244" s="20" t="n"/>
      <c r="T244" s="18">
        <f>IF(OR(S244="",N244&lt;&gt;"Paying"),"",IFERROR(INDEX(Plans!$B$2:$B$20,MATCH(S244,Plans!$A$2:$A$20,0)),""))</f>
        <v/>
      </c>
      <c r="U244" s="24" t="n"/>
    </row>
    <row r="245">
      <c r="A245" s="20" t="n"/>
      <c r="B245" s="20" t="n"/>
      <c r="C245" s="20" t="n"/>
      <c r="D245" s="20" t="n"/>
      <c r="E245" s="20" t="n"/>
      <c r="F245" s="20" t="n"/>
      <c r="G245" s="20" t="n"/>
      <c r="H245" s="21" t="n"/>
      <c r="I245" s="20" t="n"/>
      <c r="J245" s="20" t="n"/>
      <c r="K245" s="22" t="n"/>
      <c r="L245" s="20" t="n"/>
      <c r="M245" s="15">
        <f>IF(L245="","",IF(OR(L245="Voicemail",L245="No answer"),"High",IF(L245="Answering service","Medium","Low")))</f>
        <v/>
      </c>
      <c r="N245" s="20" t="n"/>
      <c r="O245" s="23" t="n"/>
      <c r="P245" s="20" t="n"/>
      <c r="Q245" s="23" t="n"/>
      <c r="R245" s="17">
        <f>IF(Q245="","",Q245-TODAY())</f>
        <v/>
      </c>
      <c r="S245" s="20" t="n"/>
      <c r="T245" s="18">
        <f>IF(OR(S245="",N245&lt;&gt;"Paying"),"",IFERROR(INDEX(Plans!$B$2:$B$20,MATCH(S245,Plans!$A$2:$A$20,0)),""))</f>
        <v/>
      </c>
      <c r="U245" s="24" t="n"/>
    </row>
    <row r="246">
      <c r="A246" s="20" t="n"/>
      <c r="B246" s="20" t="n"/>
      <c r="C246" s="20" t="n"/>
      <c r="D246" s="20" t="n"/>
      <c r="E246" s="20" t="n"/>
      <c r="F246" s="20" t="n"/>
      <c r="G246" s="20" t="n"/>
      <c r="H246" s="21" t="n"/>
      <c r="I246" s="20" t="n"/>
      <c r="J246" s="20" t="n"/>
      <c r="K246" s="22" t="n"/>
      <c r="L246" s="20" t="n"/>
      <c r="M246" s="15">
        <f>IF(L246="","",IF(OR(L246="Voicemail",L246="No answer"),"High",IF(L246="Answering service","Medium","Low")))</f>
        <v/>
      </c>
      <c r="N246" s="20" t="n"/>
      <c r="O246" s="23" t="n"/>
      <c r="P246" s="20" t="n"/>
      <c r="Q246" s="23" t="n"/>
      <c r="R246" s="17">
        <f>IF(Q246="","",Q246-TODAY())</f>
        <v/>
      </c>
      <c r="S246" s="20" t="n"/>
      <c r="T246" s="18">
        <f>IF(OR(S246="",N246&lt;&gt;"Paying"),"",IFERROR(INDEX(Plans!$B$2:$B$20,MATCH(S246,Plans!$A$2:$A$20,0)),""))</f>
        <v/>
      </c>
      <c r="U246" s="24" t="n"/>
    </row>
    <row r="247">
      <c r="A247" s="20" t="n"/>
      <c r="B247" s="20" t="n"/>
      <c r="C247" s="20" t="n"/>
      <c r="D247" s="20" t="n"/>
      <c r="E247" s="20" t="n"/>
      <c r="F247" s="20" t="n"/>
      <c r="G247" s="20" t="n"/>
      <c r="H247" s="21" t="n"/>
      <c r="I247" s="20" t="n"/>
      <c r="J247" s="20" t="n"/>
      <c r="K247" s="22" t="n"/>
      <c r="L247" s="20" t="n"/>
      <c r="M247" s="15">
        <f>IF(L247="","",IF(OR(L247="Voicemail",L247="No answer"),"High",IF(L247="Answering service","Medium","Low")))</f>
        <v/>
      </c>
      <c r="N247" s="20" t="n"/>
      <c r="O247" s="23" t="n"/>
      <c r="P247" s="20" t="n"/>
      <c r="Q247" s="23" t="n"/>
      <c r="R247" s="17">
        <f>IF(Q247="","",Q247-TODAY())</f>
        <v/>
      </c>
      <c r="S247" s="20" t="n"/>
      <c r="T247" s="18">
        <f>IF(OR(S247="",N247&lt;&gt;"Paying"),"",IFERROR(INDEX(Plans!$B$2:$B$20,MATCH(S247,Plans!$A$2:$A$20,0)),""))</f>
        <v/>
      </c>
      <c r="U247" s="24" t="n"/>
    </row>
    <row r="248">
      <c r="A248" s="20" t="n"/>
      <c r="B248" s="20" t="n"/>
      <c r="C248" s="20" t="n"/>
      <c r="D248" s="20" t="n"/>
      <c r="E248" s="20" t="n"/>
      <c r="F248" s="20" t="n"/>
      <c r="G248" s="20" t="n"/>
      <c r="H248" s="21" t="n"/>
      <c r="I248" s="20" t="n"/>
      <c r="J248" s="20" t="n"/>
      <c r="K248" s="22" t="n"/>
      <c r="L248" s="20" t="n"/>
      <c r="M248" s="15">
        <f>IF(L248="","",IF(OR(L248="Voicemail",L248="No answer"),"High",IF(L248="Answering service","Medium","Low")))</f>
        <v/>
      </c>
      <c r="N248" s="20" t="n"/>
      <c r="O248" s="23" t="n"/>
      <c r="P248" s="20" t="n"/>
      <c r="Q248" s="23" t="n"/>
      <c r="R248" s="17">
        <f>IF(Q248="","",Q248-TODAY())</f>
        <v/>
      </c>
      <c r="S248" s="20" t="n"/>
      <c r="T248" s="18">
        <f>IF(OR(S248="",N248&lt;&gt;"Paying"),"",IFERROR(INDEX(Plans!$B$2:$B$20,MATCH(S248,Plans!$A$2:$A$20,0)),""))</f>
        <v/>
      </c>
      <c r="U248" s="24" t="n"/>
    </row>
    <row r="249">
      <c r="A249" s="20" t="n"/>
      <c r="B249" s="20" t="n"/>
      <c r="C249" s="20" t="n"/>
      <c r="D249" s="20" t="n"/>
      <c r="E249" s="20" t="n"/>
      <c r="F249" s="20" t="n"/>
      <c r="G249" s="20" t="n"/>
      <c r="H249" s="21" t="n"/>
      <c r="I249" s="20" t="n"/>
      <c r="J249" s="20" t="n"/>
      <c r="K249" s="22" t="n"/>
      <c r="L249" s="20" t="n"/>
      <c r="M249" s="15">
        <f>IF(L249="","",IF(OR(L249="Voicemail",L249="No answer"),"High",IF(L249="Answering service","Medium","Low")))</f>
        <v/>
      </c>
      <c r="N249" s="20" t="n"/>
      <c r="O249" s="23" t="n"/>
      <c r="P249" s="20" t="n"/>
      <c r="Q249" s="23" t="n"/>
      <c r="R249" s="17">
        <f>IF(Q249="","",Q249-TODAY())</f>
        <v/>
      </c>
      <c r="S249" s="20" t="n"/>
      <c r="T249" s="18">
        <f>IF(OR(S249="",N249&lt;&gt;"Paying"),"",IFERROR(INDEX(Plans!$B$2:$B$20,MATCH(S249,Plans!$A$2:$A$20,0)),""))</f>
        <v/>
      </c>
      <c r="U249" s="24" t="n"/>
    </row>
    <row r="250">
      <c r="A250" s="20" t="n"/>
      <c r="B250" s="20" t="n"/>
      <c r="C250" s="20" t="n"/>
      <c r="D250" s="20" t="n"/>
      <c r="E250" s="20" t="n"/>
      <c r="F250" s="20" t="n"/>
      <c r="G250" s="20" t="n"/>
      <c r="H250" s="21" t="n"/>
      <c r="I250" s="20" t="n"/>
      <c r="J250" s="20" t="n"/>
      <c r="K250" s="22" t="n"/>
      <c r="L250" s="20" t="n"/>
      <c r="M250" s="15">
        <f>IF(L250="","",IF(OR(L250="Voicemail",L250="No answer"),"High",IF(L250="Answering service","Medium","Low")))</f>
        <v/>
      </c>
      <c r="N250" s="20" t="n"/>
      <c r="O250" s="23" t="n"/>
      <c r="P250" s="20" t="n"/>
      <c r="Q250" s="23" t="n"/>
      <c r="R250" s="17">
        <f>IF(Q250="","",Q250-TODAY())</f>
        <v/>
      </c>
      <c r="S250" s="20" t="n"/>
      <c r="T250" s="18">
        <f>IF(OR(S250="",N250&lt;&gt;"Paying"),"",IFERROR(INDEX(Plans!$B$2:$B$20,MATCH(S250,Plans!$A$2:$A$20,0)),""))</f>
        <v/>
      </c>
      <c r="U250" s="24" t="n"/>
    </row>
    <row r="251">
      <c r="A251" s="20" t="n"/>
      <c r="B251" s="20" t="n"/>
      <c r="C251" s="20" t="n"/>
      <c r="D251" s="20" t="n"/>
      <c r="E251" s="20" t="n"/>
      <c r="F251" s="20" t="n"/>
      <c r="G251" s="20" t="n"/>
      <c r="H251" s="21" t="n"/>
      <c r="I251" s="20" t="n"/>
      <c r="J251" s="20" t="n"/>
      <c r="K251" s="22" t="n"/>
      <c r="L251" s="20" t="n"/>
      <c r="M251" s="15">
        <f>IF(L251="","",IF(OR(L251="Voicemail",L251="No answer"),"High",IF(L251="Answering service","Medium","Low")))</f>
        <v/>
      </c>
      <c r="N251" s="20" t="n"/>
      <c r="O251" s="23" t="n"/>
      <c r="P251" s="20" t="n"/>
      <c r="Q251" s="23" t="n"/>
      <c r="R251" s="17">
        <f>IF(Q251="","",Q251-TODAY())</f>
        <v/>
      </c>
      <c r="S251" s="20" t="n"/>
      <c r="T251" s="18">
        <f>IF(OR(S251="",N251&lt;&gt;"Paying"),"",IFERROR(INDEX(Plans!$B$2:$B$20,MATCH(S251,Plans!$A$2:$A$20,0)),""))</f>
        <v/>
      </c>
      <c r="U251" s="24" t="n"/>
    </row>
    <row r="252">
      <c r="A252" s="20" t="n"/>
      <c r="B252" s="20" t="n"/>
      <c r="C252" s="20" t="n"/>
      <c r="D252" s="20" t="n"/>
      <c r="E252" s="20" t="n"/>
      <c r="F252" s="20" t="n"/>
      <c r="G252" s="20" t="n"/>
      <c r="H252" s="21" t="n"/>
      <c r="I252" s="20" t="n"/>
      <c r="J252" s="20" t="n"/>
      <c r="K252" s="22" t="n"/>
      <c r="L252" s="20" t="n"/>
      <c r="M252" s="15">
        <f>IF(L252="","",IF(OR(L252="Voicemail",L252="No answer"),"High",IF(L252="Answering service","Medium","Low")))</f>
        <v/>
      </c>
      <c r="N252" s="20" t="n"/>
      <c r="O252" s="23" t="n"/>
      <c r="P252" s="20" t="n"/>
      <c r="Q252" s="23" t="n"/>
      <c r="R252" s="17">
        <f>IF(Q252="","",Q252-TODAY())</f>
        <v/>
      </c>
      <c r="S252" s="20" t="n"/>
      <c r="T252" s="18">
        <f>IF(OR(S252="",N252&lt;&gt;"Paying"),"",IFERROR(INDEX(Plans!$B$2:$B$20,MATCH(S252,Plans!$A$2:$A$20,0)),""))</f>
        <v/>
      </c>
      <c r="U252" s="24" t="n"/>
    </row>
    <row r="253">
      <c r="A253" s="20" t="n"/>
      <c r="B253" s="20" t="n"/>
      <c r="C253" s="20" t="n"/>
      <c r="D253" s="20" t="n"/>
      <c r="E253" s="20" t="n"/>
      <c r="F253" s="20" t="n"/>
      <c r="G253" s="20" t="n"/>
      <c r="H253" s="21" t="n"/>
      <c r="I253" s="20" t="n"/>
      <c r="J253" s="20" t="n"/>
      <c r="K253" s="22" t="n"/>
      <c r="L253" s="20" t="n"/>
      <c r="M253" s="15">
        <f>IF(L253="","",IF(OR(L253="Voicemail",L253="No answer"),"High",IF(L253="Answering service","Medium","Low")))</f>
        <v/>
      </c>
      <c r="N253" s="20" t="n"/>
      <c r="O253" s="23" t="n"/>
      <c r="P253" s="20" t="n"/>
      <c r="Q253" s="23" t="n"/>
      <c r="R253" s="17">
        <f>IF(Q253="","",Q253-TODAY())</f>
        <v/>
      </c>
      <c r="S253" s="20" t="n"/>
      <c r="T253" s="18">
        <f>IF(OR(S253="",N253&lt;&gt;"Paying"),"",IFERROR(INDEX(Plans!$B$2:$B$20,MATCH(S253,Plans!$A$2:$A$20,0)),""))</f>
        <v/>
      </c>
      <c r="U253" s="24" t="n"/>
    </row>
    <row r="254">
      <c r="A254" s="20" t="n"/>
      <c r="B254" s="20" t="n"/>
      <c r="C254" s="20" t="n"/>
      <c r="D254" s="20" t="n"/>
      <c r="E254" s="20" t="n"/>
      <c r="F254" s="20" t="n"/>
      <c r="G254" s="20" t="n"/>
      <c r="H254" s="21" t="n"/>
      <c r="I254" s="20" t="n"/>
      <c r="J254" s="20" t="n"/>
      <c r="K254" s="22" t="n"/>
      <c r="L254" s="20" t="n"/>
      <c r="M254" s="15">
        <f>IF(L254="","",IF(OR(L254="Voicemail",L254="No answer"),"High",IF(L254="Answering service","Medium","Low")))</f>
        <v/>
      </c>
      <c r="N254" s="20" t="n"/>
      <c r="O254" s="23" t="n"/>
      <c r="P254" s="20" t="n"/>
      <c r="Q254" s="23" t="n"/>
      <c r="R254" s="17">
        <f>IF(Q254="","",Q254-TODAY())</f>
        <v/>
      </c>
      <c r="S254" s="20" t="n"/>
      <c r="T254" s="18">
        <f>IF(OR(S254="",N254&lt;&gt;"Paying"),"",IFERROR(INDEX(Plans!$B$2:$B$20,MATCH(S254,Plans!$A$2:$A$20,0)),""))</f>
        <v/>
      </c>
      <c r="U254" s="24" t="n"/>
    </row>
    <row r="255">
      <c r="A255" s="20" t="n"/>
      <c r="B255" s="20" t="n"/>
      <c r="C255" s="20" t="n"/>
      <c r="D255" s="20" t="n"/>
      <c r="E255" s="20" t="n"/>
      <c r="F255" s="20" t="n"/>
      <c r="G255" s="20" t="n"/>
      <c r="H255" s="21" t="n"/>
      <c r="I255" s="20" t="n"/>
      <c r="J255" s="20" t="n"/>
      <c r="K255" s="22" t="n"/>
      <c r="L255" s="20" t="n"/>
      <c r="M255" s="15">
        <f>IF(L255="","",IF(OR(L255="Voicemail",L255="No answer"),"High",IF(L255="Answering service","Medium","Low")))</f>
        <v/>
      </c>
      <c r="N255" s="20" t="n"/>
      <c r="O255" s="23" t="n"/>
      <c r="P255" s="20" t="n"/>
      <c r="Q255" s="23" t="n"/>
      <c r="R255" s="17">
        <f>IF(Q255="","",Q255-TODAY())</f>
        <v/>
      </c>
      <c r="S255" s="20" t="n"/>
      <c r="T255" s="18">
        <f>IF(OR(S255="",N255&lt;&gt;"Paying"),"",IFERROR(INDEX(Plans!$B$2:$B$20,MATCH(S255,Plans!$A$2:$A$20,0)),""))</f>
        <v/>
      </c>
      <c r="U255" s="24" t="n"/>
    </row>
    <row r="256">
      <c r="A256" s="20" t="n"/>
      <c r="B256" s="20" t="n"/>
      <c r="C256" s="20" t="n"/>
      <c r="D256" s="20" t="n"/>
      <c r="E256" s="20" t="n"/>
      <c r="F256" s="20" t="n"/>
      <c r="G256" s="20" t="n"/>
      <c r="H256" s="21" t="n"/>
      <c r="I256" s="20" t="n"/>
      <c r="J256" s="20" t="n"/>
      <c r="K256" s="22" t="n"/>
      <c r="L256" s="20" t="n"/>
      <c r="M256" s="15">
        <f>IF(L256="","",IF(OR(L256="Voicemail",L256="No answer"),"High",IF(L256="Answering service","Medium","Low")))</f>
        <v/>
      </c>
      <c r="N256" s="20" t="n"/>
      <c r="O256" s="23" t="n"/>
      <c r="P256" s="20" t="n"/>
      <c r="Q256" s="23" t="n"/>
      <c r="R256" s="17">
        <f>IF(Q256="","",Q256-TODAY())</f>
        <v/>
      </c>
      <c r="S256" s="20" t="n"/>
      <c r="T256" s="18">
        <f>IF(OR(S256="",N256&lt;&gt;"Paying"),"",IFERROR(INDEX(Plans!$B$2:$B$20,MATCH(S256,Plans!$A$2:$A$20,0)),""))</f>
        <v/>
      </c>
      <c r="U256" s="24" t="n"/>
    </row>
    <row r="257">
      <c r="A257" s="20" t="n"/>
      <c r="B257" s="20" t="n"/>
      <c r="C257" s="20" t="n"/>
      <c r="D257" s="20" t="n"/>
      <c r="E257" s="20" t="n"/>
      <c r="F257" s="20" t="n"/>
      <c r="G257" s="20" t="n"/>
      <c r="H257" s="21" t="n"/>
      <c r="I257" s="20" t="n"/>
      <c r="J257" s="20" t="n"/>
      <c r="K257" s="22" t="n"/>
      <c r="L257" s="20" t="n"/>
      <c r="M257" s="15">
        <f>IF(L257="","",IF(OR(L257="Voicemail",L257="No answer"),"High",IF(L257="Answering service","Medium","Low")))</f>
        <v/>
      </c>
      <c r="N257" s="20" t="n"/>
      <c r="O257" s="23" t="n"/>
      <c r="P257" s="20" t="n"/>
      <c r="Q257" s="23" t="n"/>
      <c r="R257" s="17">
        <f>IF(Q257="","",Q257-TODAY())</f>
        <v/>
      </c>
      <c r="S257" s="20" t="n"/>
      <c r="T257" s="18">
        <f>IF(OR(S257="",N257&lt;&gt;"Paying"),"",IFERROR(INDEX(Plans!$B$2:$B$20,MATCH(S257,Plans!$A$2:$A$20,0)),""))</f>
        <v/>
      </c>
      <c r="U257" s="24" t="n"/>
    </row>
    <row r="258">
      <c r="A258" s="20" t="n"/>
      <c r="B258" s="20" t="n"/>
      <c r="C258" s="20" t="n"/>
      <c r="D258" s="20" t="n"/>
      <c r="E258" s="20" t="n"/>
      <c r="F258" s="20" t="n"/>
      <c r="G258" s="20" t="n"/>
      <c r="H258" s="21" t="n"/>
      <c r="I258" s="20" t="n"/>
      <c r="J258" s="20" t="n"/>
      <c r="K258" s="22" t="n"/>
      <c r="L258" s="20" t="n"/>
      <c r="M258" s="15">
        <f>IF(L258="","",IF(OR(L258="Voicemail",L258="No answer"),"High",IF(L258="Answering service","Medium","Low")))</f>
        <v/>
      </c>
      <c r="N258" s="20" t="n"/>
      <c r="O258" s="23" t="n"/>
      <c r="P258" s="20" t="n"/>
      <c r="Q258" s="23" t="n"/>
      <c r="R258" s="17">
        <f>IF(Q258="","",Q258-TODAY())</f>
        <v/>
      </c>
      <c r="S258" s="20" t="n"/>
      <c r="T258" s="18">
        <f>IF(OR(S258="",N258&lt;&gt;"Paying"),"",IFERROR(INDEX(Plans!$B$2:$B$20,MATCH(S258,Plans!$A$2:$A$20,0)),""))</f>
        <v/>
      </c>
      <c r="U258" s="24" t="n"/>
    </row>
    <row r="259">
      <c r="A259" s="20" t="n"/>
      <c r="B259" s="20" t="n"/>
      <c r="C259" s="20" t="n"/>
      <c r="D259" s="20" t="n"/>
      <c r="E259" s="20" t="n"/>
      <c r="F259" s="20" t="n"/>
      <c r="G259" s="20" t="n"/>
      <c r="H259" s="21" t="n"/>
      <c r="I259" s="20" t="n"/>
      <c r="J259" s="20" t="n"/>
      <c r="K259" s="22" t="n"/>
      <c r="L259" s="20" t="n"/>
      <c r="M259" s="15">
        <f>IF(L259="","",IF(OR(L259="Voicemail",L259="No answer"),"High",IF(L259="Answering service","Medium","Low")))</f>
        <v/>
      </c>
      <c r="N259" s="20" t="n"/>
      <c r="O259" s="23" t="n"/>
      <c r="P259" s="20" t="n"/>
      <c r="Q259" s="23" t="n"/>
      <c r="R259" s="17">
        <f>IF(Q259="","",Q259-TODAY())</f>
        <v/>
      </c>
      <c r="S259" s="20" t="n"/>
      <c r="T259" s="18">
        <f>IF(OR(S259="",N259&lt;&gt;"Paying"),"",IFERROR(INDEX(Plans!$B$2:$B$20,MATCH(S259,Plans!$A$2:$A$20,0)),""))</f>
        <v/>
      </c>
      <c r="U259" s="24" t="n"/>
    </row>
    <row r="260">
      <c r="A260" s="20" t="n"/>
      <c r="B260" s="20" t="n"/>
      <c r="C260" s="20" t="n"/>
      <c r="D260" s="20" t="n"/>
      <c r="E260" s="20" t="n"/>
      <c r="F260" s="20" t="n"/>
      <c r="G260" s="20" t="n"/>
      <c r="H260" s="21" t="n"/>
      <c r="I260" s="20" t="n"/>
      <c r="J260" s="20" t="n"/>
      <c r="K260" s="22" t="n"/>
      <c r="L260" s="20" t="n"/>
      <c r="M260" s="15">
        <f>IF(L260="","",IF(OR(L260="Voicemail",L260="No answer"),"High",IF(L260="Answering service","Medium","Low")))</f>
        <v/>
      </c>
      <c r="N260" s="20" t="n"/>
      <c r="O260" s="23" t="n"/>
      <c r="P260" s="20" t="n"/>
      <c r="Q260" s="23" t="n"/>
      <c r="R260" s="17">
        <f>IF(Q260="","",Q260-TODAY())</f>
        <v/>
      </c>
      <c r="S260" s="20" t="n"/>
      <c r="T260" s="18">
        <f>IF(OR(S260="",N260&lt;&gt;"Paying"),"",IFERROR(INDEX(Plans!$B$2:$B$20,MATCH(S260,Plans!$A$2:$A$20,0)),""))</f>
        <v/>
      </c>
      <c r="U260" s="24" t="n"/>
    </row>
    <row r="261">
      <c r="A261" s="20" t="n"/>
      <c r="B261" s="20" t="n"/>
      <c r="C261" s="20" t="n"/>
      <c r="D261" s="20" t="n"/>
      <c r="E261" s="20" t="n"/>
      <c r="F261" s="20" t="n"/>
      <c r="G261" s="20" t="n"/>
      <c r="H261" s="21" t="n"/>
      <c r="I261" s="20" t="n"/>
      <c r="J261" s="20" t="n"/>
      <c r="K261" s="22" t="n"/>
      <c r="L261" s="20" t="n"/>
      <c r="M261" s="15">
        <f>IF(L261="","",IF(OR(L261="Voicemail",L261="No answer"),"High",IF(L261="Answering service","Medium","Low")))</f>
        <v/>
      </c>
      <c r="N261" s="20" t="n"/>
      <c r="O261" s="23" t="n"/>
      <c r="P261" s="20" t="n"/>
      <c r="Q261" s="23" t="n"/>
      <c r="R261" s="17">
        <f>IF(Q261="","",Q261-TODAY())</f>
        <v/>
      </c>
      <c r="S261" s="20" t="n"/>
      <c r="T261" s="18">
        <f>IF(OR(S261="",N261&lt;&gt;"Paying"),"",IFERROR(INDEX(Plans!$B$2:$B$20,MATCH(S261,Plans!$A$2:$A$20,0)),""))</f>
        <v/>
      </c>
      <c r="U261" s="24" t="n"/>
    </row>
    <row r="262">
      <c r="A262" s="20" t="n"/>
      <c r="B262" s="20" t="n"/>
      <c r="C262" s="20" t="n"/>
      <c r="D262" s="20" t="n"/>
      <c r="E262" s="20" t="n"/>
      <c r="F262" s="20" t="n"/>
      <c r="G262" s="20" t="n"/>
      <c r="H262" s="21" t="n"/>
      <c r="I262" s="20" t="n"/>
      <c r="J262" s="20" t="n"/>
      <c r="K262" s="22" t="n"/>
      <c r="L262" s="20" t="n"/>
      <c r="M262" s="15">
        <f>IF(L262="","",IF(OR(L262="Voicemail",L262="No answer"),"High",IF(L262="Answering service","Medium","Low")))</f>
        <v/>
      </c>
      <c r="N262" s="20" t="n"/>
      <c r="O262" s="23" t="n"/>
      <c r="P262" s="20" t="n"/>
      <c r="Q262" s="23" t="n"/>
      <c r="R262" s="17">
        <f>IF(Q262="","",Q262-TODAY())</f>
        <v/>
      </c>
      <c r="S262" s="20" t="n"/>
      <c r="T262" s="18">
        <f>IF(OR(S262="",N262&lt;&gt;"Paying"),"",IFERROR(INDEX(Plans!$B$2:$B$20,MATCH(S262,Plans!$A$2:$A$20,0)),""))</f>
        <v/>
      </c>
      <c r="U262" s="24" t="n"/>
    </row>
    <row r="263">
      <c r="A263" s="20" t="n"/>
      <c r="B263" s="20" t="n"/>
      <c r="C263" s="20" t="n"/>
      <c r="D263" s="20" t="n"/>
      <c r="E263" s="20" t="n"/>
      <c r="F263" s="20" t="n"/>
      <c r="G263" s="20" t="n"/>
      <c r="H263" s="21" t="n"/>
      <c r="I263" s="20" t="n"/>
      <c r="J263" s="20" t="n"/>
      <c r="K263" s="22" t="n"/>
      <c r="L263" s="20" t="n"/>
      <c r="M263" s="15">
        <f>IF(L263="","",IF(OR(L263="Voicemail",L263="No answer"),"High",IF(L263="Answering service","Medium","Low")))</f>
        <v/>
      </c>
      <c r="N263" s="20" t="n"/>
      <c r="O263" s="23" t="n"/>
      <c r="P263" s="20" t="n"/>
      <c r="Q263" s="23" t="n"/>
      <c r="R263" s="17">
        <f>IF(Q263="","",Q263-TODAY())</f>
        <v/>
      </c>
      <c r="S263" s="20" t="n"/>
      <c r="T263" s="18">
        <f>IF(OR(S263="",N263&lt;&gt;"Paying"),"",IFERROR(INDEX(Plans!$B$2:$B$20,MATCH(S263,Plans!$A$2:$A$20,0)),""))</f>
        <v/>
      </c>
      <c r="U263" s="24" t="n"/>
    </row>
    <row r="264">
      <c r="A264" s="20" t="n"/>
      <c r="B264" s="20" t="n"/>
      <c r="C264" s="20" t="n"/>
      <c r="D264" s="20" t="n"/>
      <c r="E264" s="20" t="n"/>
      <c r="F264" s="20" t="n"/>
      <c r="G264" s="20" t="n"/>
      <c r="H264" s="21" t="n"/>
      <c r="I264" s="20" t="n"/>
      <c r="J264" s="20" t="n"/>
      <c r="K264" s="22" t="n"/>
      <c r="L264" s="20" t="n"/>
      <c r="M264" s="15">
        <f>IF(L264="","",IF(OR(L264="Voicemail",L264="No answer"),"High",IF(L264="Answering service","Medium","Low")))</f>
        <v/>
      </c>
      <c r="N264" s="20" t="n"/>
      <c r="O264" s="23" t="n"/>
      <c r="P264" s="20" t="n"/>
      <c r="Q264" s="23" t="n"/>
      <c r="R264" s="17">
        <f>IF(Q264="","",Q264-TODAY())</f>
        <v/>
      </c>
      <c r="S264" s="20" t="n"/>
      <c r="T264" s="18">
        <f>IF(OR(S264="",N264&lt;&gt;"Paying"),"",IFERROR(INDEX(Plans!$B$2:$B$20,MATCH(S264,Plans!$A$2:$A$20,0)),""))</f>
        <v/>
      </c>
      <c r="U264" s="24" t="n"/>
    </row>
    <row r="265">
      <c r="A265" s="20" t="n"/>
      <c r="B265" s="20" t="n"/>
      <c r="C265" s="20" t="n"/>
      <c r="D265" s="20" t="n"/>
      <c r="E265" s="20" t="n"/>
      <c r="F265" s="20" t="n"/>
      <c r="G265" s="20" t="n"/>
      <c r="H265" s="21" t="n"/>
      <c r="I265" s="20" t="n"/>
      <c r="J265" s="20" t="n"/>
      <c r="K265" s="22" t="n"/>
      <c r="L265" s="20" t="n"/>
      <c r="M265" s="15">
        <f>IF(L265="","",IF(OR(L265="Voicemail",L265="No answer"),"High",IF(L265="Answering service","Medium","Low")))</f>
        <v/>
      </c>
      <c r="N265" s="20" t="n"/>
      <c r="O265" s="23" t="n"/>
      <c r="P265" s="20" t="n"/>
      <c r="Q265" s="23" t="n"/>
      <c r="R265" s="17">
        <f>IF(Q265="","",Q265-TODAY())</f>
        <v/>
      </c>
      <c r="S265" s="20" t="n"/>
      <c r="T265" s="18">
        <f>IF(OR(S265="",N265&lt;&gt;"Paying"),"",IFERROR(INDEX(Plans!$B$2:$B$20,MATCH(S265,Plans!$A$2:$A$20,0)),""))</f>
        <v/>
      </c>
      <c r="U265" s="24" t="n"/>
    </row>
    <row r="266">
      <c r="A266" s="20" t="n"/>
      <c r="B266" s="20" t="n"/>
      <c r="C266" s="20" t="n"/>
      <c r="D266" s="20" t="n"/>
      <c r="E266" s="20" t="n"/>
      <c r="F266" s="20" t="n"/>
      <c r="G266" s="20" t="n"/>
      <c r="H266" s="21" t="n"/>
      <c r="I266" s="20" t="n"/>
      <c r="J266" s="20" t="n"/>
      <c r="K266" s="22" t="n"/>
      <c r="L266" s="20" t="n"/>
      <c r="M266" s="15">
        <f>IF(L266="","",IF(OR(L266="Voicemail",L266="No answer"),"High",IF(L266="Answering service","Medium","Low")))</f>
        <v/>
      </c>
      <c r="N266" s="20" t="n"/>
      <c r="O266" s="23" t="n"/>
      <c r="P266" s="20" t="n"/>
      <c r="Q266" s="23" t="n"/>
      <c r="R266" s="17">
        <f>IF(Q266="","",Q266-TODAY())</f>
        <v/>
      </c>
      <c r="S266" s="20" t="n"/>
      <c r="T266" s="18">
        <f>IF(OR(S266="",N266&lt;&gt;"Paying"),"",IFERROR(INDEX(Plans!$B$2:$B$20,MATCH(S266,Plans!$A$2:$A$20,0)),""))</f>
        <v/>
      </c>
      <c r="U266" s="24" t="n"/>
    </row>
    <row r="267">
      <c r="A267" s="20" t="n"/>
      <c r="B267" s="20" t="n"/>
      <c r="C267" s="20" t="n"/>
      <c r="D267" s="20" t="n"/>
      <c r="E267" s="20" t="n"/>
      <c r="F267" s="20" t="n"/>
      <c r="G267" s="20" t="n"/>
      <c r="H267" s="21" t="n"/>
      <c r="I267" s="20" t="n"/>
      <c r="J267" s="20" t="n"/>
      <c r="K267" s="22" t="n"/>
      <c r="L267" s="20" t="n"/>
      <c r="M267" s="15">
        <f>IF(L267="","",IF(OR(L267="Voicemail",L267="No answer"),"High",IF(L267="Answering service","Medium","Low")))</f>
        <v/>
      </c>
      <c r="N267" s="20" t="n"/>
      <c r="O267" s="23" t="n"/>
      <c r="P267" s="20" t="n"/>
      <c r="Q267" s="23" t="n"/>
      <c r="R267" s="17">
        <f>IF(Q267="","",Q267-TODAY())</f>
        <v/>
      </c>
      <c r="S267" s="20" t="n"/>
      <c r="T267" s="18">
        <f>IF(OR(S267="",N267&lt;&gt;"Paying"),"",IFERROR(INDEX(Plans!$B$2:$B$20,MATCH(S267,Plans!$A$2:$A$20,0)),""))</f>
        <v/>
      </c>
      <c r="U267" s="24" t="n"/>
    </row>
    <row r="268">
      <c r="A268" s="20" t="n"/>
      <c r="B268" s="20" t="n"/>
      <c r="C268" s="20" t="n"/>
      <c r="D268" s="20" t="n"/>
      <c r="E268" s="20" t="n"/>
      <c r="F268" s="20" t="n"/>
      <c r="G268" s="20" t="n"/>
      <c r="H268" s="21" t="n"/>
      <c r="I268" s="20" t="n"/>
      <c r="J268" s="20" t="n"/>
      <c r="K268" s="22" t="n"/>
      <c r="L268" s="20" t="n"/>
      <c r="M268" s="15">
        <f>IF(L268="","",IF(OR(L268="Voicemail",L268="No answer"),"High",IF(L268="Answering service","Medium","Low")))</f>
        <v/>
      </c>
      <c r="N268" s="20" t="n"/>
      <c r="O268" s="23" t="n"/>
      <c r="P268" s="20" t="n"/>
      <c r="Q268" s="23" t="n"/>
      <c r="R268" s="17">
        <f>IF(Q268="","",Q268-TODAY())</f>
        <v/>
      </c>
      <c r="S268" s="20" t="n"/>
      <c r="T268" s="18">
        <f>IF(OR(S268="",N268&lt;&gt;"Paying"),"",IFERROR(INDEX(Plans!$B$2:$B$20,MATCH(S268,Plans!$A$2:$A$20,0)),""))</f>
        <v/>
      </c>
      <c r="U268" s="24" t="n"/>
    </row>
    <row r="269">
      <c r="A269" s="20" t="n"/>
      <c r="B269" s="20" t="n"/>
      <c r="C269" s="20" t="n"/>
      <c r="D269" s="20" t="n"/>
      <c r="E269" s="20" t="n"/>
      <c r="F269" s="20" t="n"/>
      <c r="G269" s="20" t="n"/>
      <c r="H269" s="21" t="n"/>
      <c r="I269" s="20" t="n"/>
      <c r="J269" s="20" t="n"/>
      <c r="K269" s="22" t="n"/>
      <c r="L269" s="20" t="n"/>
      <c r="M269" s="15">
        <f>IF(L269="","",IF(OR(L269="Voicemail",L269="No answer"),"High",IF(L269="Answering service","Medium","Low")))</f>
        <v/>
      </c>
      <c r="N269" s="20" t="n"/>
      <c r="O269" s="23" t="n"/>
      <c r="P269" s="20" t="n"/>
      <c r="Q269" s="23" t="n"/>
      <c r="R269" s="17">
        <f>IF(Q269="","",Q269-TODAY())</f>
        <v/>
      </c>
      <c r="S269" s="20" t="n"/>
      <c r="T269" s="18">
        <f>IF(OR(S269="",N269&lt;&gt;"Paying"),"",IFERROR(INDEX(Plans!$B$2:$B$20,MATCH(S269,Plans!$A$2:$A$20,0)),""))</f>
        <v/>
      </c>
      <c r="U269" s="24" t="n"/>
    </row>
    <row r="270">
      <c r="A270" s="20" t="n"/>
      <c r="B270" s="20" t="n"/>
      <c r="C270" s="20" t="n"/>
      <c r="D270" s="20" t="n"/>
      <c r="E270" s="20" t="n"/>
      <c r="F270" s="20" t="n"/>
      <c r="G270" s="20" t="n"/>
      <c r="H270" s="21" t="n"/>
      <c r="I270" s="20" t="n"/>
      <c r="J270" s="20" t="n"/>
      <c r="K270" s="22" t="n"/>
      <c r="L270" s="20" t="n"/>
      <c r="M270" s="15">
        <f>IF(L270="","",IF(OR(L270="Voicemail",L270="No answer"),"High",IF(L270="Answering service","Medium","Low")))</f>
        <v/>
      </c>
      <c r="N270" s="20" t="n"/>
      <c r="O270" s="23" t="n"/>
      <c r="P270" s="20" t="n"/>
      <c r="Q270" s="23" t="n"/>
      <c r="R270" s="17">
        <f>IF(Q270="","",Q270-TODAY())</f>
        <v/>
      </c>
      <c r="S270" s="20" t="n"/>
      <c r="T270" s="18">
        <f>IF(OR(S270="",N270&lt;&gt;"Paying"),"",IFERROR(INDEX(Plans!$B$2:$B$20,MATCH(S270,Plans!$A$2:$A$20,0)),""))</f>
        <v/>
      </c>
      <c r="U270" s="24" t="n"/>
    </row>
    <row r="271">
      <c r="A271" s="20" t="n"/>
      <c r="B271" s="20" t="n"/>
      <c r="C271" s="20" t="n"/>
      <c r="D271" s="20" t="n"/>
      <c r="E271" s="20" t="n"/>
      <c r="F271" s="20" t="n"/>
      <c r="G271" s="20" t="n"/>
      <c r="H271" s="21" t="n"/>
      <c r="I271" s="20" t="n"/>
      <c r="J271" s="20" t="n"/>
      <c r="K271" s="22" t="n"/>
      <c r="L271" s="20" t="n"/>
      <c r="M271" s="15">
        <f>IF(L271="","",IF(OR(L271="Voicemail",L271="No answer"),"High",IF(L271="Answering service","Medium","Low")))</f>
        <v/>
      </c>
      <c r="N271" s="20" t="n"/>
      <c r="O271" s="23" t="n"/>
      <c r="P271" s="20" t="n"/>
      <c r="Q271" s="23" t="n"/>
      <c r="R271" s="17">
        <f>IF(Q271="","",Q271-TODAY())</f>
        <v/>
      </c>
      <c r="S271" s="20" t="n"/>
      <c r="T271" s="18">
        <f>IF(OR(S271="",N271&lt;&gt;"Paying"),"",IFERROR(INDEX(Plans!$B$2:$B$20,MATCH(S271,Plans!$A$2:$A$20,0)),""))</f>
        <v/>
      </c>
      <c r="U271" s="24" t="n"/>
    </row>
    <row r="272">
      <c r="A272" s="20" t="n"/>
      <c r="B272" s="20" t="n"/>
      <c r="C272" s="20" t="n"/>
      <c r="D272" s="20" t="n"/>
      <c r="E272" s="20" t="n"/>
      <c r="F272" s="20" t="n"/>
      <c r="G272" s="20" t="n"/>
      <c r="H272" s="21" t="n"/>
      <c r="I272" s="20" t="n"/>
      <c r="J272" s="20" t="n"/>
      <c r="K272" s="22" t="n"/>
      <c r="L272" s="20" t="n"/>
      <c r="M272" s="15">
        <f>IF(L272="","",IF(OR(L272="Voicemail",L272="No answer"),"High",IF(L272="Answering service","Medium","Low")))</f>
        <v/>
      </c>
      <c r="N272" s="20" t="n"/>
      <c r="O272" s="23" t="n"/>
      <c r="P272" s="20" t="n"/>
      <c r="Q272" s="23" t="n"/>
      <c r="R272" s="17">
        <f>IF(Q272="","",Q272-TODAY())</f>
        <v/>
      </c>
      <c r="S272" s="20" t="n"/>
      <c r="T272" s="18">
        <f>IF(OR(S272="",N272&lt;&gt;"Paying"),"",IFERROR(INDEX(Plans!$B$2:$B$20,MATCH(S272,Plans!$A$2:$A$20,0)),""))</f>
        <v/>
      </c>
      <c r="U272" s="24" t="n"/>
    </row>
    <row r="273">
      <c r="A273" s="20" t="n"/>
      <c r="B273" s="20" t="n"/>
      <c r="C273" s="20" t="n"/>
      <c r="D273" s="20" t="n"/>
      <c r="E273" s="20" t="n"/>
      <c r="F273" s="20" t="n"/>
      <c r="G273" s="20" t="n"/>
      <c r="H273" s="21" t="n"/>
      <c r="I273" s="20" t="n"/>
      <c r="J273" s="20" t="n"/>
      <c r="K273" s="22" t="n"/>
      <c r="L273" s="20" t="n"/>
      <c r="M273" s="15">
        <f>IF(L273="","",IF(OR(L273="Voicemail",L273="No answer"),"High",IF(L273="Answering service","Medium","Low")))</f>
        <v/>
      </c>
      <c r="N273" s="20" t="n"/>
      <c r="O273" s="23" t="n"/>
      <c r="P273" s="20" t="n"/>
      <c r="Q273" s="23" t="n"/>
      <c r="R273" s="17">
        <f>IF(Q273="","",Q273-TODAY())</f>
        <v/>
      </c>
      <c r="S273" s="20" t="n"/>
      <c r="T273" s="18">
        <f>IF(OR(S273="",N273&lt;&gt;"Paying"),"",IFERROR(INDEX(Plans!$B$2:$B$20,MATCH(S273,Plans!$A$2:$A$20,0)),""))</f>
        <v/>
      </c>
      <c r="U273" s="24" t="n"/>
    </row>
    <row r="274">
      <c r="A274" s="20" t="n"/>
      <c r="B274" s="20" t="n"/>
      <c r="C274" s="20" t="n"/>
      <c r="D274" s="20" t="n"/>
      <c r="E274" s="20" t="n"/>
      <c r="F274" s="20" t="n"/>
      <c r="G274" s="20" t="n"/>
      <c r="H274" s="21" t="n"/>
      <c r="I274" s="20" t="n"/>
      <c r="J274" s="20" t="n"/>
      <c r="K274" s="22" t="n"/>
      <c r="L274" s="20" t="n"/>
      <c r="M274" s="15">
        <f>IF(L274="","",IF(OR(L274="Voicemail",L274="No answer"),"High",IF(L274="Answering service","Medium","Low")))</f>
        <v/>
      </c>
      <c r="N274" s="20" t="n"/>
      <c r="O274" s="23" t="n"/>
      <c r="P274" s="20" t="n"/>
      <c r="Q274" s="23" t="n"/>
      <c r="R274" s="17">
        <f>IF(Q274="","",Q274-TODAY())</f>
        <v/>
      </c>
      <c r="S274" s="20" t="n"/>
      <c r="T274" s="18">
        <f>IF(OR(S274="",N274&lt;&gt;"Paying"),"",IFERROR(INDEX(Plans!$B$2:$B$20,MATCH(S274,Plans!$A$2:$A$20,0)),""))</f>
        <v/>
      </c>
      <c r="U274" s="24" t="n"/>
    </row>
    <row r="275">
      <c r="A275" s="20" t="n"/>
      <c r="B275" s="20" t="n"/>
      <c r="C275" s="20" t="n"/>
      <c r="D275" s="20" t="n"/>
      <c r="E275" s="20" t="n"/>
      <c r="F275" s="20" t="n"/>
      <c r="G275" s="20" t="n"/>
      <c r="H275" s="21" t="n"/>
      <c r="I275" s="20" t="n"/>
      <c r="J275" s="20" t="n"/>
      <c r="K275" s="22" t="n"/>
      <c r="L275" s="20" t="n"/>
      <c r="M275" s="15">
        <f>IF(L275="","",IF(OR(L275="Voicemail",L275="No answer"),"High",IF(L275="Answering service","Medium","Low")))</f>
        <v/>
      </c>
      <c r="N275" s="20" t="n"/>
      <c r="O275" s="23" t="n"/>
      <c r="P275" s="20" t="n"/>
      <c r="Q275" s="23" t="n"/>
      <c r="R275" s="17">
        <f>IF(Q275="","",Q275-TODAY())</f>
        <v/>
      </c>
      <c r="S275" s="20" t="n"/>
      <c r="T275" s="18">
        <f>IF(OR(S275="",N275&lt;&gt;"Paying"),"",IFERROR(INDEX(Plans!$B$2:$B$20,MATCH(S275,Plans!$A$2:$A$20,0)),""))</f>
        <v/>
      </c>
      <c r="U275" s="24" t="n"/>
    </row>
    <row r="276">
      <c r="A276" s="20" t="n"/>
      <c r="B276" s="20" t="n"/>
      <c r="C276" s="20" t="n"/>
      <c r="D276" s="20" t="n"/>
      <c r="E276" s="20" t="n"/>
      <c r="F276" s="20" t="n"/>
      <c r="G276" s="20" t="n"/>
      <c r="H276" s="21" t="n"/>
      <c r="I276" s="20" t="n"/>
      <c r="J276" s="20" t="n"/>
      <c r="K276" s="22" t="n"/>
      <c r="L276" s="20" t="n"/>
      <c r="M276" s="15">
        <f>IF(L276="","",IF(OR(L276="Voicemail",L276="No answer"),"High",IF(L276="Answering service","Medium","Low")))</f>
        <v/>
      </c>
      <c r="N276" s="20" t="n"/>
      <c r="O276" s="23" t="n"/>
      <c r="P276" s="20" t="n"/>
      <c r="Q276" s="23" t="n"/>
      <c r="R276" s="17">
        <f>IF(Q276="","",Q276-TODAY())</f>
        <v/>
      </c>
      <c r="S276" s="20" t="n"/>
      <c r="T276" s="18">
        <f>IF(OR(S276="",N276&lt;&gt;"Paying"),"",IFERROR(INDEX(Plans!$B$2:$B$20,MATCH(S276,Plans!$A$2:$A$20,0)),""))</f>
        <v/>
      </c>
      <c r="U276" s="24" t="n"/>
    </row>
    <row r="277">
      <c r="A277" s="20" t="n"/>
      <c r="B277" s="20" t="n"/>
      <c r="C277" s="20" t="n"/>
      <c r="D277" s="20" t="n"/>
      <c r="E277" s="20" t="n"/>
      <c r="F277" s="20" t="n"/>
      <c r="G277" s="20" t="n"/>
      <c r="H277" s="21" t="n"/>
      <c r="I277" s="20" t="n"/>
      <c r="J277" s="20" t="n"/>
      <c r="K277" s="22" t="n"/>
      <c r="L277" s="20" t="n"/>
      <c r="M277" s="15">
        <f>IF(L277="","",IF(OR(L277="Voicemail",L277="No answer"),"High",IF(L277="Answering service","Medium","Low")))</f>
        <v/>
      </c>
      <c r="N277" s="20" t="n"/>
      <c r="O277" s="23" t="n"/>
      <c r="P277" s="20" t="n"/>
      <c r="Q277" s="23" t="n"/>
      <c r="R277" s="17">
        <f>IF(Q277="","",Q277-TODAY())</f>
        <v/>
      </c>
      <c r="S277" s="20" t="n"/>
      <c r="T277" s="18">
        <f>IF(OR(S277="",N277&lt;&gt;"Paying"),"",IFERROR(INDEX(Plans!$B$2:$B$20,MATCH(S277,Plans!$A$2:$A$20,0)),""))</f>
        <v/>
      </c>
      <c r="U277" s="24" t="n"/>
    </row>
    <row r="278">
      <c r="A278" s="20" t="n"/>
      <c r="B278" s="20" t="n"/>
      <c r="C278" s="20" t="n"/>
      <c r="D278" s="20" t="n"/>
      <c r="E278" s="20" t="n"/>
      <c r="F278" s="20" t="n"/>
      <c r="G278" s="20" t="n"/>
      <c r="H278" s="21" t="n"/>
      <c r="I278" s="20" t="n"/>
      <c r="J278" s="20" t="n"/>
      <c r="K278" s="22" t="n"/>
      <c r="L278" s="20" t="n"/>
      <c r="M278" s="15">
        <f>IF(L278="","",IF(OR(L278="Voicemail",L278="No answer"),"High",IF(L278="Answering service","Medium","Low")))</f>
        <v/>
      </c>
      <c r="N278" s="20" t="n"/>
      <c r="O278" s="23" t="n"/>
      <c r="P278" s="20" t="n"/>
      <c r="Q278" s="23" t="n"/>
      <c r="R278" s="17">
        <f>IF(Q278="","",Q278-TODAY())</f>
        <v/>
      </c>
      <c r="S278" s="20" t="n"/>
      <c r="T278" s="18">
        <f>IF(OR(S278="",N278&lt;&gt;"Paying"),"",IFERROR(INDEX(Plans!$B$2:$B$20,MATCH(S278,Plans!$A$2:$A$20,0)),""))</f>
        <v/>
      </c>
      <c r="U278" s="24" t="n"/>
    </row>
    <row r="279">
      <c r="A279" s="20" t="n"/>
      <c r="B279" s="20" t="n"/>
      <c r="C279" s="20" t="n"/>
      <c r="D279" s="20" t="n"/>
      <c r="E279" s="20" t="n"/>
      <c r="F279" s="20" t="n"/>
      <c r="G279" s="20" t="n"/>
      <c r="H279" s="21" t="n"/>
      <c r="I279" s="20" t="n"/>
      <c r="J279" s="20" t="n"/>
      <c r="K279" s="22" t="n"/>
      <c r="L279" s="20" t="n"/>
      <c r="M279" s="15">
        <f>IF(L279="","",IF(OR(L279="Voicemail",L279="No answer"),"High",IF(L279="Answering service","Medium","Low")))</f>
        <v/>
      </c>
      <c r="N279" s="20" t="n"/>
      <c r="O279" s="23" t="n"/>
      <c r="P279" s="20" t="n"/>
      <c r="Q279" s="23" t="n"/>
      <c r="R279" s="17">
        <f>IF(Q279="","",Q279-TODAY())</f>
        <v/>
      </c>
      <c r="S279" s="20" t="n"/>
      <c r="T279" s="18">
        <f>IF(OR(S279="",N279&lt;&gt;"Paying"),"",IFERROR(INDEX(Plans!$B$2:$B$20,MATCH(S279,Plans!$A$2:$A$20,0)),""))</f>
        <v/>
      </c>
      <c r="U279" s="24" t="n"/>
    </row>
    <row r="280">
      <c r="A280" s="20" t="n"/>
      <c r="B280" s="20" t="n"/>
      <c r="C280" s="20" t="n"/>
      <c r="D280" s="20" t="n"/>
      <c r="E280" s="20" t="n"/>
      <c r="F280" s="20" t="n"/>
      <c r="G280" s="20" t="n"/>
      <c r="H280" s="21" t="n"/>
      <c r="I280" s="20" t="n"/>
      <c r="J280" s="20" t="n"/>
      <c r="K280" s="22" t="n"/>
      <c r="L280" s="20" t="n"/>
      <c r="M280" s="15">
        <f>IF(L280="","",IF(OR(L280="Voicemail",L280="No answer"),"High",IF(L280="Answering service","Medium","Low")))</f>
        <v/>
      </c>
      <c r="N280" s="20" t="n"/>
      <c r="O280" s="23" t="n"/>
      <c r="P280" s="20" t="n"/>
      <c r="Q280" s="23" t="n"/>
      <c r="R280" s="17">
        <f>IF(Q280="","",Q280-TODAY())</f>
        <v/>
      </c>
      <c r="S280" s="20" t="n"/>
      <c r="T280" s="18">
        <f>IF(OR(S280="",N280&lt;&gt;"Paying"),"",IFERROR(INDEX(Plans!$B$2:$B$20,MATCH(S280,Plans!$A$2:$A$20,0)),""))</f>
        <v/>
      </c>
      <c r="U280" s="24" t="n"/>
    </row>
    <row r="281">
      <c r="A281" s="20" t="n"/>
      <c r="B281" s="20" t="n"/>
      <c r="C281" s="20" t="n"/>
      <c r="D281" s="20" t="n"/>
      <c r="E281" s="20" t="n"/>
      <c r="F281" s="20" t="n"/>
      <c r="G281" s="20" t="n"/>
      <c r="H281" s="21" t="n"/>
      <c r="I281" s="20" t="n"/>
      <c r="J281" s="20" t="n"/>
      <c r="K281" s="22" t="n"/>
      <c r="L281" s="20" t="n"/>
      <c r="M281" s="15">
        <f>IF(L281="","",IF(OR(L281="Voicemail",L281="No answer"),"High",IF(L281="Answering service","Medium","Low")))</f>
        <v/>
      </c>
      <c r="N281" s="20" t="n"/>
      <c r="O281" s="23" t="n"/>
      <c r="P281" s="20" t="n"/>
      <c r="Q281" s="23" t="n"/>
      <c r="R281" s="17">
        <f>IF(Q281="","",Q281-TODAY())</f>
        <v/>
      </c>
      <c r="S281" s="20" t="n"/>
      <c r="T281" s="18">
        <f>IF(OR(S281="",N281&lt;&gt;"Paying"),"",IFERROR(INDEX(Plans!$B$2:$B$20,MATCH(S281,Plans!$A$2:$A$20,0)),""))</f>
        <v/>
      </c>
      <c r="U281" s="24" t="n"/>
    </row>
    <row r="282">
      <c r="A282" s="20" t="n"/>
      <c r="B282" s="20" t="n"/>
      <c r="C282" s="20" t="n"/>
      <c r="D282" s="20" t="n"/>
      <c r="E282" s="20" t="n"/>
      <c r="F282" s="20" t="n"/>
      <c r="G282" s="20" t="n"/>
      <c r="H282" s="21" t="n"/>
      <c r="I282" s="20" t="n"/>
      <c r="J282" s="20" t="n"/>
      <c r="K282" s="22" t="n"/>
      <c r="L282" s="20" t="n"/>
      <c r="M282" s="15">
        <f>IF(L282="","",IF(OR(L282="Voicemail",L282="No answer"),"High",IF(L282="Answering service","Medium","Low")))</f>
        <v/>
      </c>
      <c r="N282" s="20" t="n"/>
      <c r="O282" s="23" t="n"/>
      <c r="P282" s="20" t="n"/>
      <c r="Q282" s="23" t="n"/>
      <c r="R282" s="17">
        <f>IF(Q282="","",Q282-TODAY())</f>
        <v/>
      </c>
      <c r="S282" s="20" t="n"/>
      <c r="T282" s="18">
        <f>IF(OR(S282="",N282&lt;&gt;"Paying"),"",IFERROR(INDEX(Plans!$B$2:$B$20,MATCH(S282,Plans!$A$2:$A$20,0)),""))</f>
        <v/>
      </c>
      <c r="U282" s="24" t="n"/>
    </row>
    <row r="283">
      <c r="A283" s="20" t="n"/>
      <c r="B283" s="20" t="n"/>
      <c r="C283" s="20" t="n"/>
      <c r="D283" s="20" t="n"/>
      <c r="E283" s="20" t="n"/>
      <c r="F283" s="20" t="n"/>
      <c r="G283" s="20" t="n"/>
      <c r="H283" s="21" t="n"/>
      <c r="I283" s="20" t="n"/>
      <c r="J283" s="20" t="n"/>
      <c r="K283" s="22" t="n"/>
      <c r="L283" s="20" t="n"/>
      <c r="M283" s="15">
        <f>IF(L283="","",IF(OR(L283="Voicemail",L283="No answer"),"High",IF(L283="Answering service","Medium","Low")))</f>
        <v/>
      </c>
      <c r="N283" s="20" t="n"/>
      <c r="O283" s="23" t="n"/>
      <c r="P283" s="20" t="n"/>
      <c r="Q283" s="23" t="n"/>
      <c r="R283" s="17">
        <f>IF(Q283="","",Q283-TODAY())</f>
        <v/>
      </c>
      <c r="S283" s="20" t="n"/>
      <c r="T283" s="18">
        <f>IF(OR(S283="",N283&lt;&gt;"Paying"),"",IFERROR(INDEX(Plans!$B$2:$B$20,MATCH(S283,Plans!$A$2:$A$20,0)),""))</f>
        <v/>
      </c>
      <c r="U283" s="24" t="n"/>
    </row>
    <row r="284">
      <c r="A284" s="20" t="n"/>
      <c r="B284" s="20" t="n"/>
      <c r="C284" s="20" t="n"/>
      <c r="D284" s="20" t="n"/>
      <c r="E284" s="20" t="n"/>
      <c r="F284" s="20" t="n"/>
      <c r="G284" s="20" t="n"/>
      <c r="H284" s="21" t="n"/>
      <c r="I284" s="20" t="n"/>
      <c r="J284" s="20" t="n"/>
      <c r="K284" s="22" t="n"/>
      <c r="L284" s="20" t="n"/>
      <c r="M284" s="15">
        <f>IF(L284="","",IF(OR(L284="Voicemail",L284="No answer"),"High",IF(L284="Answering service","Medium","Low")))</f>
        <v/>
      </c>
      <c r="N284" s="20" t="n"/>
      <c r="O284" s="23" t="n"/>
      <c r="P284" s="20" t="n"/>
      <c r="Q284" s="23" t="n"/>
      <c r="R284" s="17">
        <f>IF(Q284="","",Q284-TODAY())</f>
        <v/>
      </c>
      <c r="S284" s="20" t="n"/>
      <c r="T284" s="18">
        <f>IF(OR(S284="",N284&lt;&gt;"Paying"),"",IFERROR(INDEX(Plans!$B$2:$B$20,MATCH(S284,Plans!$A$2:$A$20,0)),""))</f>
        <v/>
      </c>
      <c r="U284" s="24" t="n"/>
    </row>
    <row r="285">
      <c r="A285" s="20" t="n"/>
      <c r="B285" s="20" t="n"/>
      <c r="C285" s="20" t="n"/>
      <c r="D285" s="20" t="n"/>
      <c r="E285" s="20" t="n"/>
      <c r="F285" s="20" t="n"/>
      <c r="G285" s="20" t="n"/>
      <c r="H285" s="21" t="n"/>
      <c r="I285" s="20" t="n"/>
      <c r="J285" s="20" t="n"/>
      <c r="K285" s="22" t="n"/>
      <c r="L285" s="20" t="n"/>
      <c r="M285" s="15">
        <f>IF(L285="","",IF(OR(L285="Voicemail",L285="No answer"),"High",IF(L285="Answering service","Medium","Low")))</f>
        <v/>
      </c>
      <c r="N285" s="20" t="n"/>
      <c r="O285" s="23" t="n"/>
      <c r="P285" s="20" t="n"/>
      <c r="Q285" s="23" t="n"/>
      <c r="R285" s="17">
        <f>IF(Q285="","",Q285-TODAY())</f>
        <v/>
      </c>
      <c r="S285" s="20" t="n"/>
      <c r="T285" s="18">
        <f>IF(OR(S285="",N285&lt;&gt;"Paying"),"",IFERROR(INDEX(Plans!$B$2:$B$20,MATCH(S285,Plans!$A$2:$A$20,0)),""))</f>
        <v/>
      </c>
      <c r="U285" s="24" t="n"/>
    </row>
    <row r="286">
      <c r="A286" s="20" t="n"/>
      <c r="B286" s="20" t="n"/>
      <c r="C286" s="20" t="n"/>
      <c r="D286" s="20" t="n"/>
      <c r="E286" s="20" t="n"/>
      <c r="F286" s="20" t="n"/>
      <c r="G286" s="20" t="n"/>
      <c r="H286" s="21" t="n"/>
      <c r="I286" s="20" t="n"/>
      <c r="J286" s="20" t="n"/>
      <c r="K286" s="22" t="n"/>
      <c r="L286" s="20" t="n"/>
      <c r="M286" s="15">
        <f>IF(L286="","",IF(OR(L286="Voicemail",L286="No answer"),"High",IF(L286="Answering service","Medium","Low")))</f>
        <v/>
      </c>
      <c r="N286" s="20" t="n"/>
      <c r="O286" s="23" t="n"/>
      <c r="P286" s="20" t="n"/>
      <c r="Q286" s="23" t="n"/>
      <c r="R286" s="17">
        <f>IF(Q286="","",Q286-TODAY())</f>
        <v/>
      </c>
      <c r="S286" s="20" t="n"/>
      <c r="T286" s="18">
        <f>IF(OR(S286="",N286&lt;&gt;"Paying"),"",IFERROR(INDEX(Plans!$B$2:$B$20,MATCH(S286,Plans!$A$2:$A$20,0)),""))</f>
        <v/>
      </c>
      <c r="U286" s="24" t="n"/>
    </row>
    <row r="287">
      <c r="A287" s="20" t="n"/>
      <c r="B287" s="20" t="n"/>
      <c r="C287" s="20" t="n"/>
      <c r="D287" s="20" t="n"/>
      <c r="E287" s="20" t="n"/>
      <c r="F287" s="20" t="n"/>
      <c r="G287" s="20" t="n"/>
      <c r="H287" s="21" t="n"/>
      <c r="I287" s="20" t="n"/>
      <c r="J287" s="20" t="n"/>
      <c r="K287" s="22" t="n"/>
      <c r="L287" s="20" t="n"/>
      <c r="M287" s="15">
        <f>IF(L287="","",IF(OR(L287="Voicemail",L287="No answer"),"High",IF(L287="Answering service","Medium","Low")))</f>
        <v/>
      </c>
      <c r="N287" s="20" t="n"/>
      <c r="O287" s="23" t="n"/>
      <c r="P287" s="20" t="n"/>
      <c r="Q287" s="23" t="n"/>
      <c r="R287" s="17">
        <f>IF(Q287="","",Q287-TODAY())</f>
        <v/>
      </c>
      <c r="S287" s="20" t="n"/>
      <c r="T287" s="18">
        <f>IF(OR(S287="",N287&lt;&gt;"Paying"),"",IFERROR(INDEX(Plans!$B$2:$B$20,MATCH(S287,Plans!$A$2:$A$20,0)),""))</f>
        <v/>
      </c>
      <c r="U287" s="24" t="n"/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21" t="n"/>
      <c r="I288" s="20" t="n"/>
      <c r="J288" s="20" t="n"/>
      <c r="K288" s="22" t="n"/>
      <c r="L288" s="20" t="n"/>
      <c r="M288" s="15">
        <f>IF(L288="","",IF(OR(L288="Voicemail",L288="No answer"),"High",IF(L288="Answering service","Medium","Low")))</f>
        <v/>
      </c>
      <c r="N288" s="20" t="n"/>
      <c r="O288" s="23" t="n"/>
      <c r="P288" s="20" t="n"/>
      <c r="Q288" s="23" t="n"/>
      <c r="R288" s="17">
        <f>IF(Q288="","",Q288-TODAY())</f>
        <v/>
      </c>
      <c r="S288" s="20" t="n"/>
      <c r="T288" s="18">
        <f>IF(OR(S288="",N288&lt;&gt;"Paying"),"",IFERROR(INDEX(Plans!$B$2:$B$20,MATCH(S288,Plans!$A$2:$A$20,0)),""))</f>
        <v/>
      </c>
      <c r="U288" s="24" t="n"/>
    </row>
    <row r="289">
      <c r="A289" s="20" t="n"/>
      <c r="B289" s="20" t="n"/>
      <c r="C289" s="20" t="n"/>
      <c r="D289" s="20" t="n"/>
      <c r="E289" s="20" t="n"/>
      <c r="F289" s="20" t="n"/>
      <c r="G289" s="20" t="n"/>
      <c r="H289" s="21" t="n"/>
      <c r="I289" s="20" t="n"/>
      <c r="J289" s="20" t="n"/>
      <c r="K289" s="22" t="n"/>
      <c r="L289" s="20" t="n"/>
      <c r="M289" s="15">
        <f>IF(L289="","",IF(OR(L289="Voicemail",L289="No answer"),"High",IF(L289="Answering service","Medium","Low")))</f>
        <v/>
      </c>
      <c r="N289" s="20" t="n"/>
      <c r="O289" s="23" t="n"/>
      <c r="P289" s="20" t="n"/>
      <c r="Q289" s="23" t="n"/>
      <c r="R289" s="17">
        <f>IF(Q289="","",Q289-TODAY())</f>
        <v/>
      </c>
      <c r="S289" s="20" t="n"/>
      <c r="T289" s="18">
        <f>IF(OR(S289="",N289&lt;&gt;"Paying"),"",IFERROR(INDEX(Plans!$B$2:$B$20,MATCH(S289,Plans!$A$2:$A$20,0)),""))</f>
        <v/>
      </c>
      <c r="U289" s="24" t="n"/>
    </row>
    <row r="290">
      <c r="A290" s="20" t="n"/>
      <c r="B290" s="20" t="n"/>
      <c r="C290" s="20" t="n"/>
      <c r="D290" s="20" t="n"/>
      <c r="E290" s="20" t="n"/>
      <c r="F290" s="20" t="n"/>
      <c r="G290" s="20" t="n"/>
      <c r="H290" s="21" t="n"/>
      <c r="I290" s="20" t="n"/>
      <c r="J290" s="20" t="n"/>
      <c r="K290" s="22" t="n"/>
      <c r="L290" s="20" t="n"/>
      <c r="M290" s="15">
        <f>IF(L290="","",IF(OR(L290="Voicemail",L290="No answer"),"High",IF(L290="Answering service","Medium","Low")))</f>
        <v/>
      </c>
      <c r="N290" s="20" t="n"/>
      <c r="O290" s="23" t="n"/>
      <c r="P290" s="20" t="n"/>
      <c r="Q290" s="23" t="n"/>
      <c r="R290" s="17">
        <f>IF(Q290="","",Q290-TODAY())</f>
        <v/>
      </c>
      <c r="S290" s="20" t="n"/>
      <c r="T290" s="18">
        <f>IF(OR(S290="",N290&lt;&gt;"Paying"),"",IFERROR(INDEX(Plans!$B$2:$B$20,MATCH(S290,Plans!$A$2:$A$20,0)),""))</f>
        <v/>
      </c>
      <c r="U290" s="24" t="n"/>
    </row>
    <row r="291">
      <c r="A291" s="20" t="n"/>
      <c r="B291" s="20" t="n"/>
      <c r="C291" s="20" t="n"/>
      <c r="D291" s="20" t="n"/>
      <c r="E291" s="20" t="n"/>
      <c r="F291" s="20" t="n"/>
      <c r="G291" s="20" t="n"/>
      <c r="H291" s="21" t="n"/>
      <c r="I291" s="20" t="n"/>
      <c r="J291" s="20" t="n"/>
      <c r="K291" s="22" t="n"/>
      <c r="L291" s="20" t="n"/>
      <c r="M291" s="15">
        <f>IF(L291="","",IF(OR(L291="Voicemail",L291="No answer"),"High",IF(L291="Answering service","Medium","Low")))</f>
        <v/>
      </c>
      <c r="N291" s="20" t="n"/>
      <c r="O291" s="23" t="n"/>
      <c r="P291" s="20" t="n"/>
      <c r="Q291" s="23" t="n"/>
      <c r="R291" s="17">
        <f>IF(Q291="","",Q291-TODAY())</f>
        <v/>
      </c>
      <c r="S291" s="20" t="n"/>
      <c r="T291" s="18">
        <f>IF(OR(S291="",N291&lt;&gt;"Paying"),"",IFERROR(INDEX(Plans!$B$2:$B$20,MATCH(S291,Plans!$A$2:$A$20,0)),""))</f>
        <v/>
      </c>
      <c r="U291" s="24" t="n"/>
    </row>
    <row r="292">
      <c r="A292" s="20" t="n"/>
      <c r="B292" s="20" t="n"/>
      <c r="C292" s="20" t="n"/>
      <c r="D292" s="20" t="n"/>
      <c r="E292" s="20" t="n"/>
      <c r="F292" s="20" t="n"/>
      <c r="G292" s="20" t="n"/>
      <c r="H292" s="21" t="n"/>
      <c r="I292" s="20" t="n"/>
      <c r="J292" s="20" t="n"/>
      <c r="K292" s="22" t="n"/>
      <c r="L292" s="20" t="n"/>
      <c r="M292" s="15">
        <f>IF(L292="","",IF(OR(L292="Voicemail",L292="No answer"),"High",IF(L292="Answering service","Medium","Low")))</f>
        <v/>
      </c>
      <c r="N292" s="20" t="n"/>
      <c r="O292" s="23" t="n"/>
      <c r="P292" s="20" t="n"/>
      <c r="Q292" s="23" t="n"/>
      <c r="R292" s="17">
        <f>IF(Q292="","",Q292-TODAY())</f>
        <v/>
      </c>
      <c r="S292" s="20" t="n"/>
      <c r="T292" s="18">
        <f>IF(OR(S292="",N292&lt;&gt;"Paying"),"",IFERROR(INDEX(Plans!$B$2:$B$20,MATCH(S292,Plans!$A$2:$A$20,0)),""))</f>
        <v/>
      </c>
      <c r="U292" s="24" t="n"/>
    </row>
    <row r="293">
      <c r="A293" s="20" t="n"/>
      <c r="B293" s="20" t="n"/>
      <c r="C293" s="20" t="n"/>
      <c r="D293" s="20" t="n"/>
      <c r="E293" s="20" t="n"/>
      <c r="F293" s="20" t="n"/>
      <c r="G293" s="20" t="n"/>
      <c r="H293" s="21" t="n"/>
      <c r="I293" s="20" t="n"/>
      <c r="J293" s="20" t="n"/>
      <c r="K293" s="22" t="n"/>
      <c r="L293" s="20" t="n"/>
      <c r="M293" s="15">
        <f>IF(L293="","",IF(OR(L293="Voicemail",L293="No answer"),"High",IF(L293="Answering service","Medium","Low")))</f>
        <v/>
      </c>
      <c r="N293" s="20" t="n"/>
      <c r="O293" s="23" t="n"/>
      <c r="P293" s="20" t="n"/>
      <c r="Q293" s="23" t="n"/>
      <c r="R293" s="17">
        <f>IF(Q293="","",Q293-TODAY())</f>
        <v/>
      </c>
      <c r="S293" s="20" t="n"/>
      <c r="T293" s="18">
        <f>IF(OR(S293="",N293&lt;&gt;"Paying"),"",IFERROR(INDEX(Plans!$B$2:$B$20,MATCH(S293,Plans!$A$2:$A$20,0)),""))</f>
        <v/>
      </c>
      <c r="U293" s="24" t="n"/>
    </row>
    <row r="294">
      <c r="A294" s="20" t="n"/>
      <c r="B294" s="20" t="n"/>
      <c r="C294" s="20" t="n"/>
      <c r="D294" s="20" t="n"/>
      <c r="E294" s="20" t="n"/>
      <c r="F294" s="20" t="n"/>
      <c r="G294" s="20" t="n"/>
      <c r="H294" s="21" t="n"/>
      <c r="I294" s="20" t="n"/>
      <c r="J294" s="20" t="n"/>
      <c r="K294" s="22" t="n"/>
      <c r="L294" s="20" t="n"/>
      <c r="M294" s="15">
        <f>IF(L294="","",IF(OR(L294="Voicemail",L294="No answer"),"High",IF(L294="Answering service","Medium","Low")))</f>
        <v/>
      </c>
      <c r="N294" s="20" t="n"/>
      <c r="O294" s="23" t="n"/>
      <c r="P294" s="20" t="n"/>
      <c r="Q294" s="23" t="n"/>
      <c r="R294" s="17">
        <f>IF(Q294="","",Q294-TODAY())</f>
        <v/>
      </c>
      <c r="S294" s="20" t="n"/>
      <c r="T294" s="18">
        <f>IF(OR(S294="",N294&lt;&gt;"Paying"),"",IFERROR(INDEX(Plans!$B$2:$B$20,MATCH(S294,Plans!$A$2:$A$20,0)),""))</f>
        <v/>
      </c>
      <c r="U294" s="24" t="n"/>
    </row>
    <row r="295">
      <c r="A295" s="20" t="n"/>
      <c r="B295" s="20" t="n"/>
      <c r="C295" s="20" t="n"/>
      <c r="D295" s="20" t="n"/>
      <c r="E295" s="20" t="n"/>
      <c r="F295" s="20" t="n"/>
      <c r="G295" s="20" t="n"/>
      <c r="H295" s="21" t="n"/>
      <c r="I295" s="20" t="n"/>
      <c r="J295" s="20" t="n"/>
      <c r="K295" s="22" t="n"/>
      <c r="L295" s="20" t="n"/>
      <c r="M295" s="15">
        <f>IF(L295="","",IF(OR(L295="Voicemail",L295="No answer"),"High",IF(L295="Answering service","Medium","Low")))</f>
        <v/>
      </c>
      <c r="N295" s="20" t="n"/>
      <c r="O295" s="23" t="n"/>
      <c r="P295" s="20" t="n"/>
      <c r="Q295" s="23" t="n"/>
      <c r="R295" s="17">
        <f>IF(Q295="","",Q295-TODAY())</f>
        <v/>
      </c>
      <c r="S295" s="20" t="n"/>
      <c r="T295" s="18">
        <f>IF(OR(S295="",N295&lt;&gt;"Paying"),"",IFERROR(INDEX(Plans!$B$2:$B$20,MATCH(S295,Plans!$A$2:$A$20,0)),""))</f>
        <v/>
      </c>
      <c r="U295" s="24" t="n"/>
    </row>
    <row r="296">
      <c r="A296" s="20" t="n"/>
      <c r="B296" s="20" t="n"/>
      <c r="C296" s="20" t="n"/>
      <c r="D296" s="20" t="n"/>
      <c r="E296" s="20" t="n"/>
      <c r="F296" s="20" t="n"/>
      <c r="G296" s="20" t="n"/>
      <c r="H296" s="21" t="n"/>
      <c r="I296" s="20" t="n"/>
      <c r="J296" s="20" t="n"/>
      <c r="K296" s="22" t="n"/>
      <c r="L296" s="20" t="n"/>
      <c r="M296" s="15">
        <f>IF(L296="","",IF(OR(L296="Voicemail",L296="No answer"),"High",IF(L296="Answering service","Medium","Low")))</f>
        <v/>
      </c>
      <c r="N296" s="20" t="n"/>
      <c r="O296" s="23" t="n"/>
      <c r="P296" s="20" t="n"/>
      <c r="Q296" s="23" t="n"/>
      <c r="R296" s="17">
        <f>IF(Q296="","",Q296-TODAY())</f>
        <v/>
      </c>
      <c r="S296" s="20" t="n"/>
      <c r="T296" s="18">
        <f>IF(OR(S296="",N296&lt;&gt;"Paying"),"",IFERROR(INDEX(Plans!$B$2:$B$20,MATCH(S296,Plans!$A$2:$A$20,0)),""))</f>
        <v/>
      </c>
      <c r="U296" s="24" t="n"/>
    </row>
    <row r="297">
      <c r="A297" s="20" t="n"/>
      <c r="B297" s="20" t="n"/>
      <c r="C297" s="20" t="n"/>
      <c r="D297" s="20" t="n"/>
      <c r="E297" s="20" t="n"/>
      <c r="F297" s="20" t="n"/>
      <c r="G297" s="20" t="n"/>
      <c r="H297" s="21" t="n"/>
      <c r="I297" s="20" t="n"/>
      <c r="J297" s="20" t="n"/>
      <c r="K297" s="22" t="n"/>
      <c r="L297" s="20" t="n"/>
      <c r="M297" s="15">
        <f>IF(L297="","",IF(OR(L297="Voicemail",L297="No answer"),"High",IF(L297="Answering service","Medium","Low")))</f>
        <v/>
      </c>
      <c r="N297" s="20" t="n"/>
      <c r="O297" s="23" t="n"/>
      <c r="P297" s="20" t="n"/>
      <c r="Q297" s="23" t="n"/>
      <c r="R297" s="17">
        <f>IF(Q297="","",Q297-TODAY())</f>
        <v/>
      </c>
      <c r="S297" s="20" t="n"/>
      <c r="T297" s="18">
        <f>IF(OR(S297="",N297&lt;&gt;"Paying"),"",IFERROR(INDEX(Plans!$B$2:$B$20,MATCH(S297,Plans!$A$2:$A$20,0)),""))</f>
        <v/>
      </c>
      <c r="U297" s="24" t="n"/>
    </row>
    <row r="298">
      <c r="A298" s="20" t="n"/>
      <c r="B298" s="20" t="n"/>
      <c r="C298" s="20" t="n"/>
      <c r="D298" s="20" t="n"/>
      <c r="E298" s="20" t="n"/>
      <c r="F298" s="20" t="n"/>
      <c r="G298" s="20" t="n"/>
      <c r="H298" s="21" t="n"/>
      <c r="I298" s="20" t="n"/>
      <c r="J298" s="20" t="n"/>
      <c r="K298" s="22" t="n"/>
      <c r="L298" s="20" t="n"/>
      <c r="M298" s="15">
        <f>IF(L298="","",IF(OR(L298="Voicemail",L298="No answer"),"High",IF(L298="Answering service","Medium","Low")))</f>
        <v/>
      </c>
      <c r="N298" s="20" t="n"/>
      <c r="O298" s="23" t="n"/>
      <c r="P298" s="20" t="n"/>
      <c r="Q298" s="23" t="n"/>
      <c r="R298" s="17">
        <f>IF(Q298="","",Q298-TODAY())</f>
        <v/>
      </c>
      <c r="S298" s="20" t="n"/>
      <c r="T298" s="18">
        <f>IF(OR(S298="",N298&lt;&gt;"Paying"),"",IFERROR(INDEX(Plans!$B$2:$B$20,MATCH(S298,Plans!$A$2:$A$20,0)),""))</f>
        <v/>
      </c>
      <c r="U298" s="24" t="n"/>
    </row>
    <row r="299">
      <c r="A299" s="20" t="n"/>
      <c r="B299" s="20" t="n"/>
      <c r="C299" s="20" t="n"/>
      <c r="D299" s="20" t="n"/>
      <c r="E299" s="20" t="n"/>
      <c r="F299" s="20" t="n"/>
      <c r="G299" s="20" t="n"/>
      <c r="H299" s="21" t="n"/>
      <c r="I299" s="20" t="n"/>
      <c r="J299" s="20" t="n"/>
      <c r="K299" s="22" t="n"/>
      <c r="L299" s="20" t="n"/>
      <c r="M299" s="15">
        <f>IF(L299="","",IF(OR(L299="Voicemail",L299="No answer"),"High",IF(L299="Answering service","Medium","Low")))</f>
        <v/>
      </c>
      <c r="N299" s="20" t="n"/>
      <c r="O299" s="23" t="n"/>
      <c r="P299" s="20" t="n"/>
      <c r="Q299" s="23" t="n"/>
      <c r="R299" s="17">
        <f>IF(Q299="","",Q299-TODAY())</f>
        <v/>
      </c>
      <c r="S299" s="20" t="n"/>
      <c r="T299" s="18">
        <f>IF(OR(S299="",N299&lt;&gt;"Paying"),"",IFERROR(INDEX(Plans!$B$2:$B$20,MATCH(S299,Plans!$A$2:$A$20,0)),""))</f>
        <v/>
      </c>
      <c r="U299" s="24" t="n"/>
    </row>
    <row r="300">
      <c r="A300" s="20" t="n"/>
      <c r="B300" s="20" t="n"/>
      <c r="C300" s="20" t="n"/>
      <c r="D300" s="20" t="n"/>
      <c r="E300" s="20" t="n"/>
      <c r="F300" s="20" t="n"/>
      <c r="G300" s="20" t="n"/>
      <c r="H300" s="21" t="n"/>
      <c r="I300" s="20" t="n"/>
      <c r="J300" s="20" t="n"/>
      <c r="K300" s="22" t="n"/>
      <c r="L300" s="20" t="n"/>
      <c r="M300" s="15">
        <f>IF(L300="","",IF(OR(L300="Voicemail",L300="No answer"),"High",IF(L300="Answering service","Medium","Low")))</f>
        <v/>
      </c>
      <c r="N300" s="20" t="n"/>
      <c r="O300" s="23" t="n"/>
      <c r="P300" s="20" t="n"/>
      <c r="Q300" s="23" t="n"/>
      <c r="R300" s="17">
        <f>IF(Q300="","",Q300-TODAY())</f>
        <v/>
      </c>
      <c r="S300" s="20" t="n"/>
      <c r="T300" s="18">
        <f>IF(OR(S300="",N300&lt;&gt;"Paying"),"",IFERROR(INDEX(Plans!$B$2:$B$20,MATCH(S300,Plans!$A$2:$A$20,0)),""))</f>
        <v/>
      </c>
      <c r="U300" s="24" t="n"/>
    </row>
    <row r="301">
      <c r="A301" s="20" t="n"/>
      <c r="B301" s="20" t="n"/>
      <c r="C301" s="20" t="n"/>
      <c r="D301" s="20" t="n"/>
      <c r="E301" s="20" t="n"/>
      <c r="F301" s="20" t="n"/>
      <c r="G301" s="20" t="n"/>
      <c r="H301" s="21" t="n"/>
      <c r="I301" s="20" t="n"/>
      <c r="J301" s="20" t="n"/>
      <c r="K301" s="22" t="n"/>
      <c r="L301" s="20" t="n"/>
      <c r="M301" s="15">
        <f>IF(L301="","",IF(OR(L301="Voicemail",L301="No answer"),"High",IF(L301="Answering service","Medium","Low")))</f>
        <v/>
      </c>
      <c r="N301" s="20" t="n"/>
      <c r="O301" s="23" t="n"/>
      <c r="P301" s="20" t="n"/>
      <c r="Q301" s="23" t="n"/>
      <c r="R301" s="17">
        <f>IF(Q301="","",Q301-TODAY())</f>
        <v/>
      </c>
      <c r="S301" s="20" t="n"/>
      <c r="T301" s="18">
        <f>IF(OR(S301="",N301&lt;&gt;"Paying"),"",IFERROR(INDEX(Plans!$B$2:$B$20,MATCH(S301,Plans!$A$2:$A$20,0)),""))</f>
        <v/>
      </c>
      <c r="U301" s="24" t="n"/>
    </row>
    <row r="302">
      <c r="A302" s="20" t="n"/>
      <c r="B302" s="20" t="n"/>
      <c r="C302" s="20" t="n"/>
      <c r="D302" s="20" t="n"/>
      <c r="E302" s="20" t="n"/>
      <c r="F302" s="20" t="n"/>
      <c r="G302" s="20" t="n"/>
      <c r="H302" s="21" t="n"/>
      <c r="I302" s="20" t="n"/>
      <c r="J302" s="20" t="n"/>
      <c r="K302" s="22" t="n"/>
      <c r="L302" s="20" t="n"/>
      <c r="M302" s="15">
        <f>IF(L302="","",IF(OR(L302="Voicemail",L302="No answer"),"High",IF(L302="Answering service","Medium","Low")))</f>
        <v/>
      </c>
      <c r="N302" s="20" t="n"/>
      <c r="O302" s="23" t="n"/>
      <c r="P302" s="20" t="n"/>
      <c r="Q302" s="23" t="n"/>
      <c r="R302" s="17">
        <f>IF(Q302="","",Q302-TODAY())</f>
        <v/>
      </c>
      <c r="S302" s="20" t="n"/>
      <c r="T302" s="18">
        <f>IF(OR(S302="",N302&lt;&gt;"Paying"),"",IFERROR(INDEX(Plans!$B$2:$B$20,MATCH(S302,Plans!$A$2:$A$20,0)),""))</f>
        <v/>
      </c>
      <c r="U302" s="24" t="n"/>
    </row>
    <row r="303">
      <c r="A303" s="20" t="n"/>
      <c r="B303" s="20" t="n"/>
      <c r="C303" s="20" t="n"/>
      <c r="D303" s="20" t="n"/>
      <c r="E303" s="20" t="n"/>
      <c r="F303" s="20" t="n"/>
      <c r="G303" s="20" t="n"/>
      <c r="H303" s="21" t="n"/>
      <c r="I303" s="20" t="n"/>
      <c r="J303" s="20" t="n"/>
      <c r="K303" s="22" t="n"/>
      <c r="L303" s="20" t="n"/>
      <c r="M303" s="15">
        <f>IF(L303="","",IF(OR(L303="Voicemail",L303="No answer"),"High",IF(L303="Answering service","Medium","Low")))</f>
        <v/>
      </c>
      <c r="N303" s="20" t="n"/>
      <c r="O303" s="23" t="n"/>
      <c r="P303" s="20" t="n"/>
      <c r="Q303" s="23" t="n"/>
      <c r="R303" s="17">
        <f>IF(Q303="","",Q303-TODAY())</f>
        <v/>
      </c>
      <c r="S303" s="20" t="n"/>
      <c r="T303" s="18">
        <f>IF(OR(S303="",N303&lt;&gt;"Paying"),"",IFERROR(INDEX(Plans!$B$2:$B$20,MATCH(S303,Plans!$A$2:$A$20,0)),""))</f>
        <v/>
      </c>
      <c r="U303" s="24" t="n"/>
    </row>
    <row r="304">
      <c r="A304" s="20" t="n"/>
      <c r="B304" s="20" t="n"/>
      <c r="C304" s="20" t="n"/>
      <c r="D304" s="20" t="n"/>
      <c r="E304" s="20" t="n"/>
      <c r="F304" s="20" t="n"/>
      <c r="G304" s="20" t="n"/>
      <c r="H304" s="21" t="n"/>
      <c r="I304" s="20" t="n"/>
      <c r="J304" s="20" t="n"/>
      <c r="K304" s="22" t="n"/>
      <c r="L304" s="20" t="n"/>
      <c r="M304" s="15">
        <f>IF(L304="","",IF(OR(L304="Voicemail",L304="No answer"),"High",IF(L304="Answering service","Medium","Low")))</f>
        <v/>
      </c>
      <c r="N304" s="20" t="n"/>
      <c r="O304" s="23" t="n"/>
      <c r="P304" s="20" t="n"/>
      <c r="Q304" s="23" t="n"/>
      <c r="R304" s="17">
        <f>IF(Q304="","",Q304-TODAY())</f>
        <v/>
      </c>
      <c r="S304" s="20" t="n"/>
      <c r="T304" s="18">
        <f>IF(OR(S304="",N304&lt;&gt;"Paying"),"",IFERROR(INDEX(Plans!$B$2:$B$20,MATCH(S304,Plans!$A$2:$A$20,0)),""))</f>
        <v/>
      </c>
      <c r="U304" s="24" t="n"/>
    </row>
    <row r="305">
      <c r="A305" s="20" t="n"/>
      <c r="B305" s="20" t="n"/>
      <c r="C305" s="20" t="n"/>
      <c r="D305" s="20" t="n"/>
      <c r="E305" s="20" t="n"/>
      <c r="F305" s="20" t="n"/>
      <c r="G305" s="20" t="n"/>
      <c r="H305" s="21" t="n"/>
      <c r="I305" s="20" t="n"/>
      <c r="J305" s="20" t="n"/>
      <c r="K305" s="22" t="n"/>
      <c r="L305" s="20" t="n"/>
      <c r="M305" s="15">
        <f>IF(L305="","",IF(OR(L305="Voicemail",L305="No answer"),"High",IF(L305="Answering service","Medium","Low")))</f>
        <v/>
      </c>
      <c r="N305" s="20" t="n"/>
      <c r="O305" s="23" t="n"/>
      <c r="P305" s="20" t="n"/>
      <c r="Q305" s="23" t="n"/>
      <c r="R305" s="17">
        <f>IF(Q305="","",Q305-TODAY())</f>
        <v/>
      </c>
      <c r="S305" s="20" t="n"/>
      <c r="T305" s="18">
        <f>IF(OR(S305="",N305&lt;&gt;"Paying"),"",IFERROR(INDEX(Plans!$B$2:$B$20,MATCH(S305,Plans!$A$2:$A$20,0)),""))</f>
        <v/>
      </c>
      <c r="U305" s="24" t="n"/>
    </row>
    <row r="306">
      <c r="A306" s="20" t="n"/>
      <c r="B306" s="20" t="n"/>
      <c r="C306" s="20" t="n"/>
      <c r="D306" s="20" t="n"/>
      <c r="E306" s="20" t="n"/>
      <c r="F306" s="20" t="n"/>
      <c r="G306" s="20" t="n"/>
      <c r="H306" s="21" t="n"/>
      <c r="I306" s="20" t="n"/>
      <c r="J306" s="20" t="n"/>
      <c r="K306" s="22" t="n"/>
      <c r="L306" s="20" t="n"/>
      <c r="M306" s="15">
        <f>IF(L306="","",IF(OR(L306="Voicemail",L306="No answer"),"High",IF(L306="Answering service","Medium","Low")))</f>
        <v/>
      </c>
      <c r="N306" s="20" t="n"/>
      <c r="O306" s="23" t="n"/>
      <c r="P306" s="20" t="n"/>
      <c r="Q306" s="23" t="n"/>
      <c r="R306" s="17">
        <f>IF(Q306="","",Q306-TODAY())</f>
        <v/>
      </c>
      <c r="S306" s="20" t="n"/>
      <c r="T306" s="18">
        <f>IF(OR(S306="",N306&lt;&gt;"Paying"),"",IFERROR(INDEX(Plans!$B$2:$B$20,MATCH(S306,Plans!$A$2:$A$20,0)),""))</f>
        <v/>
      </c>
      <c r="U306" s="24" t="n"/>
    </row>
    <row r="307">
      <c r="A307" s="20" t="n"/>
      <c r="B307" s="20" t="n"/>
      <c r="C307" s="20" t="n"/>
      <c r="D307" s="20" t="n"/>
      <c r="E307" s="20" t="n"/>
      <c r="F307" s="20" t="n"/>
      <c r="G307" s="20" t="n"/>
      <c r="H307" s="21" t="n"/>
      <c r="I307" s="20" t="n"/>
      <c r="J307" s="20" t="n"/>
      <c r="K307" s="22" t="n"/>
      <c r="L307" s="20" t="n"/>
      <c r="M307" s="15">
        <f>IF(L307="","",IF(OR(L307="Voicemail",L307="No answer"),"High",IF(L307="Answering service","Medium","Low")))</f>
        <v/>
      </c>
      <c r="N307" s="20" t="n"/>
      <c r="O307" s="23" t="n"/>
      <c r="P307" s="20" t="n"/>
      <c r="Q307" s="23" t="n"/>
      <c r="R307" s="17">
        <f>IF(Q307="","",Q307-TODAY())</f>
        <v/>
      </c>
      <c r="S307" s="20" t="n"/>
      <c r="T307" s="18">
        <f>IF(OR(S307="",N307&lt;&gt;"Paying"),"",IFERROR(INDEX(Plans!$B$2:$B$20,MATCH(S307,Plans!$A$2:$A$20,0)),""))</f>
        <v/>
      </c>
      <c r="U307" s="24" t="n"/>
    </row>
    <row r="308">
      <c r="A308" s="20" t="n"/>
      <c r="B308" s="20" t="n"/>
      <c r="C308" s="20" t="n"/>
      <c r="D308" s="20" t="n"/>
      <c r="E308" s="20" t="n"/>
      <c r="F308" s="20" t="n"/>
      <c r="G308" s="20" t="n"/>
      <c r="H308" s="21" t="n"/>
      <c r="I308" s="20" t="n"/>
      <c r="J308" s="20" t="n"/>
      <c r="K308" s="22" t="n"/>
      <c r="L308" s="20" t="n"/>
      <c r="M308" s="15">
        <f>IF(L308="","",IF(OR(L308="Voicemail",L308="No answer"),"High",IF(L308="Answering service","Medium","Low")))</f>
        <v/>
      </c>
      <c r="N308" s="20" t="n"/>
      <c r="O308" s="23" t="n"/>
      <c r="P308" s="20" t="n"/>
      <c r="Q308" s="23" t="n"/>
      <c r="R308" s="17">
        <f>IF(Q308="","",Q308-TODAY())</f>
        <v/>
      </c>
      <c r="S308" s="20" t="n"/>
      <c r="T308" s="18">
        <f>IF(OR(S308="",N308&lt;&gt;"Paying"),"",IFERROR(INDEX(Plans!$B$2:$B$20,MATCH(S308,Plans!$A$2:$A$20,0)),""))</f>
        <v/>
      </c>
      <c r="U308" s="24" t="n"/>
    </row>
    <row r="309">
      <c r="A309" s="20" t="n"/>
      <c r="B309" s="20" t="n"/>
      <c r="C309" s="20" t="n"/>
      <c r="D309" s="20" t="n"/>
      <c r="E309" s="20" t="n"/>
      <c r="F309" s="20" t="n"/>
      <c r="G309" s="20" t="n"/>
      <c r="H309" s="21" t="n"/>
      <c r="I309" s="20" t="n"/>
      <c r="J309" s="20" t="n"/>
      <c r="K309" s="22" t="n"/>
      <c r="L309" s="20" t="n"/>
      <c r="M309" s="15">
        <f>IF(L309="","",IF(OR(L309="Voicemail",L309="No answer"),"High",IF(L309="Answering service","Medium","Low")))</f>
        <v/>
      </c>
      <c r="N309" s="20" t="n"/>
      <c r="O309" s="23" t="n"/>
      <c r="P309" s="20" t="n"/>
      <c r="Q309" s="23" t="n"/>
      <c r="R309" s="17">
        <f>IF(Q309="","",Q309-TODAY())</f>
        <v/>
      </c>
      <c r="S309" s="20" t="n"/>
      <c r="T309" s="18">
        <f>IF(OR(S309="",N309&lt;&gt;"Paying"),"",IFERROR(INDEX(Plans!$B$2:$B$20,MATCH(S309,Plans!$A$2:$A$20,0)),""))</f>
        <v/>
      </c>
      <c r="U309" s="24" t="n"/>
    </row>
    <row r="310">
      <c r="A310" s="20" t="n"/>
      <c r="B310" s="20" t="n"/>
      <c r="C310" s="20" t="n"/>
      <c r="D310" s="20" t="n"/>
      <c r="E310" s="20" t="n"/>
      <c r="F310" s="20" t="n"/>
      <c r="G310" s="20" t="n"/>
      <c r="H310" s="21" t="n"/>
      <c r="I310" s="20" t="n"/>
      <c r="J310" s="20" t="n"/>
      <c r="K310" s="22" t="n"/>
      <c r="L310" s="20" t="n"/>
      <c r="M310" s="15">
        <f>IF(L310="","",IF(OR(L310="Voicemail",L310="No answer"),"High",IF(L310="Answering service","Medium","Low")))</f>
        <v/>
      </c>
      <c r="N310" s="20" t="n"/>
      <c r="O310" s="23" t="n"/>
      <c r="P310" s="20" t="n"/>
      <c r="Q310" s="23" t="n"/>
      <c r="R310" s="17">
        <f>IF(Q310="","",Q310-TODAY())</f>
        <v/>
      </c>
      <c r="S310" s="20" t="n"/>
      <c r="T310" s="18">
        <f>IF(OR(S310="",N310&lt;&gt;"Paying"),"",IFERROR(INDEX(Plans!$B$2:$B$20,MATCH(S310,Plans!$A$2:$A$20,0)),""))</f>
        <v/>
      </c>
      <c r="U310" s="24" t="n"/>
    </row>
    <row r="311">
      <c r="A311" s="20" t="n"/>
      <c r="B311" s="20" t="n"/>
      <c r="C311" s="20" t="n"/>
      <c r="D311" s="20" t="n"/>
      <c r="E311" s="20" t="n"/>
      <c r="F311" s="20" t="n"/>
      <c r="G311" s="20" t="n"/>
      <c r="H311" s="21" t="n"/>
      <c r="I311" s="20" t="n"/>
      <c r="J311" s="20" t="n"/>
      <c r="K311" s="22" t="n"/>
      <c r="L311" s="20" t="n"/>
      <c r="M311" s="15">
        <f>IF(L311="","",IF(OR(L311="Voicemail",L311="No answer"),"High",IF(L311="Answering service","Medium","Low")))</f>
        <v/>
      </c>
      <c r="N311" s="20" t="n"/>
      <c r="O311" s="23" t="n"/>
      <c r="P311" s="20" t="n"/>
      <c r="Q311" s="23" t="n"/>
      <c r="R311" s="17">
        <f>IF(Q311="","",Q311-TODAY())</f>
        <v/>
      </c>
      <c r="S311" s="20" t="n"/>
      <c r="T311" s="18">
        <f>IF(OR(S311="",N311&lt;&gt;"Paying"),"",IFERROR(INDEX(Plans!$B$2:$B$20,MATCH(S311,Plans!$A$2:$A$20,0)),""))</f>
        <v/>
      </c>
      <c r="U311" s="24" t="n"/>
    </row>
    <row r="312">
      <c r="A312" s="20" t="n"/>
      <c r="B312" s="20" t="n"/>
      <c r="C312" s="20" t="n"/>
      <c r="D312" s="20" t="n"/>
      <c r="E312" s="20" t="n"/>
      <c r="F312" s="20" t="n"/>
      <c r="G312" s="20" t="n"/>
      <c r="H312" s="21" t="n"/>
      <c r="I312" s="20" t="n"/>
      <c r="J312" s="20" t="n"/>
      <c r="K312" s="22" t="n"/>
      <c r="L312" s="20" t="n"/>
      <c r="M312" s="15">
        <f>IF(L312="","",IF(OR(L312="Voicemail",L312="No answer"),"High",IF(L312="Answering service","Medium","Low")))</f>
        <v/>
      </c>
      <c r="N312" s="20" t="n"/>
      <c r="O312" s="23" t="n"/>
      <c r="P312" s="20" t="n"/>
      <c r="Q312" s="23" t="n"/>
      <c r="R312" s="17">
        <f>IF(Q312="","",Q312-TODAY())</f>
        <v/>
      </c>
      <c r="S312" s="20" t="n"/>
      <c r="T312" s="18">
        <f>IF(OR(S312="",N312&lt;&gt;"Paying"),"",IFERROR(INDEX(Plans!$B$2:$B$20,MATCH(S312,Plans!$A$2:$A$20,0)),""))</f>
        <v/>
      </c>
      <c r="U312" s="24" t="n"/>
    </row>
    <row r="313">
      <c r="A313" s="20" t="n"/>
      <c r="B313" s="20" t="n"/>
      <c r="C313" s="20" t="n"/>
      <c r="D313" s="20" t="n"/>
      <c r="E313" s="20" t="n"/>
      <c r="F313" s="20" t="n"/>
      <c r="G313" s="20" t="n"/>
      <c r="H313" s="21" t="n"/>
      <c r="I313" s="20" t="n"/>
      <c r="J313" s="20" t="n"/>
      <c r="K313" s="22" t="n"/>
      <c r="L313" s="20" t="n"/>
      <c r="M313" s="15">
        <f>IF(L313="","",IF(OR(L313="Voicemail",L313="No answer"),"High",IF(L313="Answering service","Medium","Low")))</f>
        <v/>
      </c>
      <c r="N313" s="20" t="n"/>
      <c r="O313" s="23" t="n"/>
      <c r="P313" s="20" t="n"/>
      <c r="Q313" s="23" t="n"/>
      <c r="R313" s="17">
        <f>IF(Q313="","",Q313-TODAY())</f>
        <v/>
      </c>
      <c r="S313" s="20" t="n"/>
      <c r="T313" s="18">
        <f>IF(OR(S313="",N313&lt;&gt;"Paying"),"",IFERROR(INDEX(Plans!$B$2:$B$20,MATCH(S313,Plans!$A$2:$A$20,0)),""))</f>
        <v/>
      </c>
      <c r="U313" s="24" t="n"/>
    </row>
    <row r="314">
      <c r="A314" s="20" t="n"/>
      <c r="B314" s="20" t="n"/>
      <c r="C314" s="20" t="n"/>
      <c r="D314" s="20" t="n"/>
      <c r="E314" s="20" t="n"/>
      <c r="F314" s="20" t="n"/>
      <c r="G314" s="20" t="n"/>
      <c r="H314" s="21" t="n"/>
      <c r="I314" s="20" t="n"/>
      <c r="J314" s="20" t="n"/>
      <c r="K314" s="22" t="n"/>
      <c r="L314" s="20" t="n"/>
      <c r="M314" s="15">
        <f>IF(L314="","",IF(OR(L314="Voicemail",L314="No answer"),"High",IF(L314="Answering service","Medium","Low")))</f>
        <v/>
      </c>
      <c r="N314" s="20" t="n"/>
      <c r="O314" s="23" t="n"/>
      <c r="P314" s="20" t="n"/>
      <c r="Q314" s="23" t="n"/>
      <c r="R314" s="17">
        <f>IF(Q314="","",Q314-TODAY())</f>
        <v/>
      </c>
      <c r="S314" s="20" t="n"/>
      <c r="T314" s="18">
        <f>IF(OR(S314="",N314&lt;&gt;"Paying"),"",IFERROR(INDEX(Plans!$B$2:$B$20,MATCH(S314,Plans!$A$2:$A$20,0)),""))</f>
        <v/>
      </c>
      <c r="U314" s="24" t="n"/>
    </row>
    <row r="315">
      <c r="A315" s="20" t="n"/>
      <c r="B315" s="20" t="n"/>
      <c r="C315" s="20" t="n"/>
      <c r="D315" s="20" t="n"/>
      <c r="E315" s="20" t="n"/>
      <c r="F315" s="20" t="n"/>
      <c r="G315" s="20" t="n"/>
      <c r="H315" s="21" t="n"/>
      <c r="I315" s="20" t="n"/>
      <c r="J315" s="20" t="n"/>
      <c r="K315" s="22" t="n"/>
      <c r="L315" s="20" t="n"/>
      <c r="M315" s="15">
        <f>IF(L315="","",IF(OR(L315="Voicemail",L315="No answer"),"High",IF(L315="Answering service","Medium","Low")))</f>
        <v/>
      </c>
      <c r="N315" s="20" t="n"/>
      <c r="O315" s="23" t="n"/>
      <c r="P315" s="20" t="n"/>
      <c r="Q315" s="23" t="n"/>
      <c r="R315" s="17">
        <f>IF(Q315="","",Q315-TODAY())</f>
        <v/>
      </c>
      <c r="S315" s="20" t="n"/>
      <c r="T315" s="18">
        <f>IF(OR(S315="",N315&lt;&gt;"Paying"),"",IFERROR(INDEX(Plans!$B$2:$B$20,MATCH(S315,Plans!$A$2:$A$20,0)),""))</f>
        <v/>
      </c>
      <c r="U315" s="24" t="n"/>
    </row>
    <row r="316">
      <c r="A316" s="20" t="n"/>
      <c r="B316" s="20" t="n"/>
      <c r="C316" s="20" t="n"/>
      <c r="D316" s="20" t="n"/>
      <c r="E316" s="20" t="n"/>
      <c r="F316" s="20" t="n"/>
      <c r="G316" s="20" t="n"/>
      <c r="H316" s="21" t="n"/>
      <c r="I316" s="20" t="n"/>
      <c r="J316" s="20" t="n"/>
      <c r="K316" s="22" t="n"/>
      <c r="L316" s="20" t="n"/>
      <c r="M316" s="15">
        <f>IF(L316="","",IF(OR(L316="Voicemail",L316="No answer"),"High",IF(L316="Answering service","Medium","Low")))</f>
        <v/>
      </c>
      <c r="N316" s="20" t="n"/>
      <c r="O316" s="23" t="n"/>
      <c r="P316" s="20" t="n"/>
      <c r="Q316" s="23" t="n"/>
      <c r="R316" s="17">
        <f>IF(Q316="","",Q316-TODAY())</f>
        <v/>
      </c>
      <c r="S316" s="20" t="n"/>
      <c r="T316" s="18">
        <f>IF(OR(S316="",N316&lt;&gt;"Paying"),"",IFERROR(INDEX(Plans!$B$2:$B$20,MATCH(S316,Plans!$A$2:$A$20,0)),""))</f>
        <v/>
      </c>
      <c r="U316" s="24" t="n"/>
    </row>
    <row r="317">
      <c r="A317" s="20" t="n"/>
      <c r="B317" s="20" t="n"/>
      <c r="C317" s="20" t="n"/>
      <c r="D317" s="20" t="n"/>
      <c r="E317" s="20" t="n"/>
      <c r="F317" s="20" t="n"/>
      <c r="G317" s="20" t="n"/>
      <c r="H317" s="21" t="n"/>
      <c r="I317" s="20" t="n"/>
      <c r="J317" s="20" t="n"/>
      <c r="K317" s="22" t="n"/>
      <c r="L317" s="20" t="n"/>
      <c r="M317" s="15">
        <f>IF(L317="","",IF(OR(L317="Voicemail",L317="No answer"),"High",IF(L317="Answering service","Medium","Low")))</f>
        <v/>
      </c>
      <c r="N317" s="20" t="n"/>
      <c r="O317" s="23" t="n"/>
      <c r="P317" s="20" t="n"/>
      <c r="Q317" s="23" t="n"/>
      <c r="R317" s="17">
        <f>IF(Q317="","",Q317-TODAY())</f>
        <v/>
      </c>
      <c r="S317" s="20" t="n"/>
      <c r="T317" s="18">
        <f>IF(OR(S317="",N317&lt;&gt;"Paying"),"",IFERROR(INDEX(Plans!$B$2:$B$20,MATCH(S317,Plans!$A$2:$A$20,0)),""))</f>
        <v/>
      </c>
      <c r="U317" s="24" t="n"/>
    </row>
    <row r="318">
      <c r="A318" s="20" t="n"/>
      <c r="B318" s="20" t="n"/>
      <c r="C318" s="20" t="n"/>
      <c r="D318" s="20" t="n"/>
      <c r="E318" s="20" t="n"/>
      <c r="F318" s="20" t="n"/>
      <c r="G318" s="20" t="n"/>
      <c r="H318" s="21" t="n"/>
      <c r="I318" s="20" t="n"/>
      <c r="J318" s="20" t="n"/>
      <c r="K318" s="22" t="n"/>
      <c r="L318" s="20" t="n"/>
      <c r="M318" s="15">
        <f>IF(L318="","",IF(OR(L318="Voicemail",L318="No answer"),"High",IF(L318="Answering service","Medium","Low")))</f>
        <v/>
      </c>
      <c r="N318" s="20" t="n"/>
      <c r="O318" s="23" t="n"/>
      <c r="P318" s="20" t="n"/>
      <c r="Q318" s="23" t="n"/>
      <c r="R318" s="17">
        <f>IF(Q318="","",Q318-TODAY())</f>
        <v/>
      </c>
      <c r="S318" s="20" t="n"/>
      <c r="T318" s="18">
        <f>IF(OR(S318="",N318&lt;&gt;"Paying"),"",IFERROR(INDEX(Plans!$B$2:$B$20,MATCH(S318,Plans!$A$2:$A$20,0)),""))</f>
        <v/>
      </c>
      <c r="U318" s="24" t="n"/>
    </row>
    <row r="319">
      <c r="A319" s="20" t="n"/>
      <c r="B319" s="20" t="n"/>
      <c r="C319" s="20" t="n"/>
      <c r="D319" s="20" t="n"/>
      <c r="E319" s="20" t="n"/>
      <c r="F319" s="20" t="n"/>
      <c r="G319" s="20" t="n"/>
      <c r="H319" s="21" t="n"/>
      <c r="I319" s="20" t="n"/>
      <c r="J319" s="20" t="n"/>
      <c r="K319" s="22" t="n"/>
      <c r="L319" s="20" t="n"/>
      <c r="M319" s="15">
        <f>IF(L319="","",IF(OR(L319="Voicemail",L319="No answer"),"High",IF(L319="Answering service","Medium","Low")))</f>
        <v/>
      </c>
      <c r="N319" s="20" t="n"/>
      <c r="O319" s="23" t="n"/>
      <c r="P319" s="20" t="n"/>
      <c r="Q319" s="23" t="n"/>
      <c r="R319" s="17">
        <f>IF(Q319="","",Q319-TODAY())</f>
        <v/>
      </c>
      <c r="S319" s="20" t="n"/>
      <c r="T319" s="18">
        <f>IF(OR(S319="",N319&lt;&gt;"Paying"),"",IFERROR(INDEX(Plans!$B$2:$B$20,MATCH(S319,Plans!$A$2:$A$20,0)),""))</f>
        <v/>
      </c>
      <c r="U319" s="24" t="n"/>
    </row>
    <row r="320">
      <c r="A320" s="20" t="n"/>
      <c r="B320" s="20" t="n"/>
      <c r="C320" s="20" t="n"/>
      <c r="D320" s="20" t="n"/>
      <c r="E320" s="20" t="n"/>
      <c r="F320" s="20" t="n"/>
      <c r="G320" s="20" t="n"/>
      <c r="H320" s="21" t="n"/>
      <c r="I320" s="20" t="n"/>
      <c r="J320" s="20" t="n"/>
      <c r="K320" s="22" t="n"/>
      <c r="L320" s="20" t="n"/>
      <c r="M320" s="15">
        <f>IF(L320="","",IF(OR(L320="Voicemail",L320="No answer"),"High",IF(L320="Answering service","Medium","Low")))</f>
        <v/>
      </c>
      <c r="N320" s="20" t="n"/>
      <c r="O320" s="23" t="n"/>
      <c r="P320" s="20" t="n"/>
      <c r="Q320" s="23" t="n"/>
      <c r="R320" s="17">
        <f>IF(Q320="","",Q320-TODAY())</f>
        <v/>
      </c>
      <c r="S320" s="20" t="n"/>
      <c r="T320" s="18">
        <f>IF(OR(S320="",N320&lt;&gt;"Paying"),"",IFERROR(INDEX(Plans!$B$2:$B$20,MATCH(S320,Plans!$A$2:$A$20,0)),""))</f>
        <v/>
      </c>
      <c r="U320" s="24" t="n"/>
    </row>
    <row r="321">
      <c r="A321" s="20" t="n"/>
      <c r="B321" s="20" t="n"/>
      <c r="C321" s="20" t="n"/>
      <c r="D321" s="20" t="n"/>
      <c r="E321" s="20" t="n"/>
      <c r="F321" s="20" t="n"/>
      <c r="G321" s="20" t="n"/>
      <c r="H321" s="21" t="n"/>
      <c r="I321" s="20" t="n"/>
      <c r="J321" s="20" t="n"/>
      <c r="K321" s="22" t="n"/>
      <c r="L321" s="20" t="n"/>
      <c r="M321" s="15">
        <f>IF(L321="","",IF(OR(L321="Voicemail",L321="No answer"),"High",IF(L321="Answering service","Medium","Low")))</f>
        <v/>
      </c>
      <c r="N321" s="20" t="n"/>
      <c r="O321" s="23" t="n"/>
      <c r="P321" s="20" t="n"/>
      <c r="Q321" s="23" t="n"/>
      <c r="R321" s="17">
        <f>IF(Q321="","",Q321-TODAY())</f>
        <v/>
      </c>
      <c r="S321" s="20" t="n"/>
      <c r="T321" s="18">
        <f>IF(OR(S321="",N321&lt;&gt;"Paying"),"",IFERROR(INDEX(Plans!$B$2:$B$20,MATCH(S321,Plans!$A$2:$A$20,0)),""))</f>
        <v/>
      </c>
      <c r="U321" s="24" t="n"/>
    </row>
    <row r="322">
      <c r="A322" s="20" t="n"/>
      <c r="B322" s="20" t="n"/>
      <c r="C322" s="20" t="n"/>
      <c r="D322" s="20" t="n"/>
      <c r="E322" s="20" t="n"/>
      <c r="F322" s="20" t="n"/>
      <c r="G322" s="20" t="n"/>
      <c r="H322" s="21" t="n"/>
      <c r="I322" s="20" t="n"/>
      <c r="J322" s="20" t="n"/>
      <c r="K322" s="22" t="n"/>
      <c r="L322" s="20" t="n"/>
      <c r="M322" s="15">
        <f>IF(L322="","",IF(OR(L322="Voicemail",L322="No answer"),"High",IF(L322="Answering service","Medium","Low")))</f>
        <v/>
      </c>
      <c r="N322" s="20" t="n"/>
      <c r="O322" s="23" t="n"/>
      <c r="P322" s="20" t="n"/>
      <c r="Q322" s="23" t="n"/>
      <c r="R322" s="17">
        <f>IF(Q322="","",Q322-TODAY())</f>
        <v/>
      </c>
      <c r="S322" s="20" t="n"/>
      <c r="T322" s="18">
        <f>IF(OR(S322="",N322&lt;&gt;"Paying"),"",IFERROR(INDEX(Plans!$B$2:$B$20,MATCH(S322,Plans!$A$2:$A$20,0)),""))</f>
        <v/>
      </c>
      <c r="U322" s="24" t="n"/>
    </row>
    <row r="323">
      <c r="A323" s="20" t="n"/>
      <c r="B323" s="20" t="n"/>
      <c r="C323" s="20" t="n"/>
      <c r="D323" s="20" t="n"/>
      <c r="E323" s="20" t="n"/>
      <c r="F323" s="20" t="n"/>
      <c r="G323" s="20" t="n"/>
      <c r="H323" s="21" t="n"/>
      <c r="I323" s="20" t="n"/>
      <c r="J323" s="20" t="n"/>
      <c r="K323" s="22" t="n"/>
      <c r="L323" s="20" t="n"/>
      <c r="M323" s="15">
        <f>IF(L323="","",IF(OR(L323="Voicemail",L323="No answer"),"High",IF(L323="Answering service","Medium","Low")))</f>
        <v/>
      </c>
      <c r="N323" s="20" t="n"/>
      <c r="O323" s="23" t="n"/>
      <c r="P323" s="20" t="n"/>
      <c r="Q323" s="23" t="n"/>
      <c r="R323" s="17">
        <f>IF(Q323="","",Q323-TODAY())</f>
        <v/>
      </c>
      <c r="S323" s="20" t="n"/>
      <c r="T323" s="18">
        <f>IF(OR(S323="",N323&lt;&gt;"Paying"),"",IFERROR(INDEX(Plans!$B$2:$B$20,MATCH(S323,Plans!$A$2:$A$20,0)),""))</f>
        <v/>
      </c>
      <c r="U323" s="24" t="n"/>
    </row>
    <row r="324">
      <c r="A324" s="20" t="n"/>
      <c r="B324" s="20" t="n"/>
      <c r="C324" s="20" t="n"/>
      <c r="D324" s="20" t="n"/>
      <c r="E324" s="20" t="n"/>
      <c r="F324" s="20" t="n"/>
      <c r="G324" s="20" t="n"/>
      <c r="H324" s="21" t="n"/>
      <c r="I324" s="20" t="n"/>
      <c r="J324" s="20" t="n"/>
      <c r="K324" s="22" t="n"/>
      <c r="L324" s="20" t="n"/>
      <c r="M324" s="15">
        <f>IF(L324="","",IF(OR(L324="Voicemail",L324="No answer"),"High",IF(L324="Answering service","Medium","Low")))</f>
        <v/>
      </c>
      <c r="N324" s="20" t="n"/>
      <c r="O324" s="23" t="n"/>
      <c r="P324" s="20" t="n"/>
      <c r="Q324" s="23" t="n"/>
      <c r="R324" s="17">
        <f>IF(Q324="","",Q324-TODAY())</f>
        <v/>
      </c>
      <c r="S324" s="20" t="n"/>
      <c r="T324" s="18">
        <f>IF(OR(S324="",N324&lt;&gt;"Paying"),"",IFERROR(INDEX(Plans!$B$2:$B$20,MATCH(S324,Plans!$A$2:$A$20,0)),""))</f>
        <v/>
      </c>
      <c r="U324" s="24" t="n"/>
    </row>
    <row r="325">
      <c r="A325" s="20" t="n"/>
      <c r="B325" s="20" t="n"/>
      <c r="C325" s="20" t="n"/>
      <c r="D325" s="20" t="n"/>
      <c r="E325" s="20" t="n"/>
      <c r="F325" s="20" t="n"/>
      <c r="G325" s="20" t="n"/>
      <c r="H325" s="21" t="n"/>
      <c r="I325" s="20" t="n"/>
      <c r="J325" s="20" t="n"/>
      <c r="K325" s="22" t="n"/>
      <c r="L325" s="20" t="n"/>
      <c r="M325" s="15">
        <f>IF(L325="","",IF(OR(L325="Voicemail",L325="No answer"),"High",IF(L325="Answering service","Medium","Low")))</f>
        <v/>
      </c>
      <c r="N325" s="20" t="n"/>
      <c r="O325" s="23" t="n"/>
      <c r="P325" s="20" t="n"/>
      <c r="Q325" s="23" t="n"/>
      <c r="R325" s="17">
        <f>IF(Q325="","",Q325-TODAY())</f>
        <v/>
      </c>
      <c r="S325" s="20" t="n"/>
      <c r="T325" s="18">
        <f>IF(OR(S325="",N325&lt;&gt;"Paying"),"",IFERROR(INDEX(Plans!$B$2:$B$20,MATCH(S325,Plans!$A$2:$A$20,0)),""))</f>
        <v/>
      </c>
      <c r="U325" s="24" t="n"/>
    </row>
    <row r="326">
      <c r="A326" s="20" t="n"/>
      <c r="B326" s="20" t="n"/>
      <c r="C326" s="20" t="n"/>
      <c r="D326" s="20" t="n"/>
      <c r="E326" s="20" t="n"/>
      <c r="F326" s="20" t="n"/>
      <c r="G326" s="20" t="n"/>
      <c r="H326" s="21" t="n"/>
      <c r="I326" s="20" t="n"/>
      <c r="J326" s="20" t="n"/>
      <c r="K326" s="22" t="n"/>
      <c r="L326" s="20" t="n"/>
      <c r="M326" s="15">
        <f>IF(L326="","",IF(OR(L326="Voicemail",L326="No answer"),"High",IF(L326="Answering service","Medium","Low")))</f>
        <v/>
      </c>
      <c r="N326" s="20" t="n"/>
      <c r="O326" s="23" t="n"/>
      <c r="P326" s="20" t="n"/>
      <c r="Q326" s="23" t="n"/>
      <c r="R326" s="17">
        <f>IF(Q326="","",Q326-TODAY())</f>
        <v/>
      </c>
      <c r="S326" s="20" t="n"/>
      <c r="T326" s="18">
        <f>IF(OR(S326="",N326&lt;&gt;"Paying"),"",IFERROR(INDEX(Plans!$B$2:$B$20,MATCH(S326,Plans!$A$2:$A$20,0)),""))</f>
        <v/>
      </c>
      <c r="U326" s="24" t="n"/>
    </row>
    <row r="327">
      <c r="A327" s="20" t="n"/>
      <c r="B327" s="20" t="n"/>
      <c r="C327" s="20" t="n"/>
      <c r="D327" s="20" t="n"/>
      <c r="E327" s="20" t="n"/>
      <c r="F327" s="20" t="n"/>
      <c r="G327" s="20" t="n"/>
      <c r="H327" s="21" t="n"/>
      <c r="I327" s="20" t="n"/>
      <c r="J327" s="20" t="n"/>
      <c r="K327" s="22" t="n"/>
      <c r="L327" s="20" t="n"/>
      <c r="M327" s="15">
        <f>IF(L327="","",IF(OR(L327="Voicemail",L327="No answer"),"High",IF(L327="Answering service","Medium","Low")))</f>
        <v/>
      </c>
      <c r="N327" s="20" t="n"/>
      <c r="O327" s="23" t="n"/>
      <c r="P327" s="20" t="n"/>
      <c r="Q327" s="23" t="n"/>
      <c r="R327" s="17">
        <f>IF(Q327="","",Q327-TODAY())</f>
        <v/>
      </c>
      <c r="S327" s="20" t="n"/>
      <c r="T327" s="18">
        <f>IF(OR(S327="",N327&lt;&gt;"Paying"),"",IFERROR(INDEX(Plans!$B$2:$B$20,MATCH(S327,Plans!$A$2:$A$20,0)),""))</f>
        <v/>
      </c>
      <c r="U327" s="24" t="n"/>
    </row>
    <row r="328">
      <c r="A328" s="20" t="n"/>
      <c r="B328" s="20" t="n"/>
      <c r="C328" s="20" t="n"/>
      <c r="D328" s="20" t="n"/>
      <c r="E328" s="20" t="n"/>
      <c r="F328" s="20" t="n"/>
      <c r="G328" s="20" t="n"/>
      <c r="H328" s="21" t="n"/>
      <c r="I328" s="20" t="n"/>
      <c r="J328" s="20" t="n"/>
      <c r="K328" s="22" t="n"/>
      <c r="L328" s="20" t="n"/>
      <c r="M328" s="15">
        <f>IF(L328="","",IF(OR(L328="Voicemail",L328="No answer"),"High",IF(L328="Answering service","Medium","Low")))</f>
        <v/>
      </c>
      <c r="N328" s="20" t="n"/>
      <c r="O328" s="23" t="n"/>
      <c r="P328" s="20" t="n"/>
      <c r="Q328" s="23" t="n"/>
      <c r="R328" s="17">
        <f>IF(Q328="","",Q328-TODAY())</f>
        <v/>
      </c>
      <c r="S328" s="20" t="n"/>
      <c r="T328" s="18">
        <f>IF(OR(S328="",N328&lt;&gt;"Paying"),"",IFERROR(INDEX(Plans!$B$2:$B$20,MATCH(S328,Plans!$A$2:$A$20,0)),""))</f>
        <v/>
      </c>
      <c r="U328" s="24" t="n"/>
    </row>
    <row r="329">
      <c r="A329" s="20" t="n"/>
      <c r="B329" s="20" t="n"/>
      <c r="C329" s="20" t="n"/>
      <c r="D329" s="20" t="n"/>
      <c r="E329" s="20" t="n"/>
      <c r="F329" s="20" t="n"/>
      <c r="G329" s="20" t="n"/>
      <c r="H329" s="21" t="n"/>
      <c r="I329" s="20" t="n"/>
      <c r="J329" s="20" t="n"/>
      <c r="K329" s="22" t="n"/>
      <c r="L329" s="20" t="n"/>
      <c r="M329" s="15">
        <f>IF(L329="","",IF(OR(L329="Voicemail",L329="No answer"),"High",IF(L329="Answering service","Medium","Low")))</f>
        <v/>
      </c>
      <c r="N329" s="20" t="n"/>
      <c r="O329" s="23" t="n"/>
      <c r="P329" s="20" t="n"/>
      <c r="Q329" s="23" t="n"/>
      <c r="R329" s="17">
        <f>IF(Q329="","",Q329-TODAY())</f>
        <v/>
      </c>
      <c r="S329" s="20" t="n"/>
      <c r="T329" s="18">
        <f>IF(OR(S329="",N329&lt;&gt;"Paying"),"",IFERROR(INDEX(Plans!$B$2:$B$20,MATCH(S329,Plans!$A$2:$A$20,0)),""))</f>
        <v/>
      </c>
      <c r="U329" s="24" t="n"/>
    </row>
    <row r="330">
      <c r="A330" s="20" t="n"/>
      <c r="B330" s="20" t="n"/>
      <c r="C330" s="20" t="n"/>
      <c r="D330" s="20" t="n"/>
      <c r="E330" s="20" t="n"/>
      <c r="F330" s="20" t="n"/>
      <c r="G330" s="20" t="n"/>
      <c r="H330" s="21" t="n"/>
      <c r="I330" s="20" t="n"/>
      <c r="J330" s="20" t="n"/>
      <c r="K330" s="22" t="n"/>
      <c r="L330" s="20" t="n"/>
      <c r="M330" s="15">
        <f>IF(L330="","",IF(OR(L330="Voicemail",L330="No answer"),"High",IF(L330="Answering service","Medium","Low")))</f>
        <v/>
      </c>
      <c r="N330" s="20" t="n"/>
      <c r="O330" s="23" t="n"/>
      <c r="P330" s="20" t="n"/>
      <c r="Q330" s="23" t="n"/>
      <c r="R330" s="17">
        <f>IF(Q330="","",Q330-TODAY())</f>
        <v/>
      </c>
      <c r="S330" s="20" t="n"/>
      <c r="T330" s="18">
        <f>IF(OR(S330="",N330&lt;&gt;"Paying"),"",IFERROR(INDEX(Plans!$B$2:$B$20,MATCH(S330,Plans!$A$2:$A$20,0)),""))</f>
        <v/>
      </c>
      <c r="U330" s="24" t="n"/>
    </row>
    <row r="331">
      <c r="A331" s="20" t="n"/>
      <c r="B331" s="20" t="n"/>
      <c r="C331" s="20" t="n"/>
      <c r="D331" s="20" t="n"/>
      <c r="E331" s="20" t="n"/>
      <c r="F331" s="20" t="n"/>
      <c r="G331" s="20" t="n"/>
      <c r="H331" s="21" t="n"/>
      <c r="I331" s="20" t="n"/>
      <c r="J331" s="20" t="n"/>
      <c r="K331" s="22" t="n"/>
      <c r="L331" s="20" t="n"/>
      <c r="M331" s="15">
        <f>IF(L331="","",IF(OR(L331="Voicemail",L331="No answer"),"High",IF(L331="Answering service","Medium","Low")))</f>
        <v/>
      </c>
      <c r="N331" s="20" t="n"/>
      <c r="O331" s="23" t="n"/>
      <c r="P331" s="20" t="n"/>
      <c r="Q331" s="23" t="n"/>
      <c r="R331" s="17">
        <f>IF(Q331="","",Q331-TODAY())</f>
        <v/>
      </c>
      <c r="S331" s="20" t="n"/>
      <c r="T331" s="18">
        <f>IF(OR(S331="",N331&lt;&gt;"Paying"),"",IFERROR(INDEX(Plans!$B$2:$B$20,MATCH(S331,Plans!$A$2:$A$20,0)),""))</f>
        <v/>
      </c>
      <c r="U331" s="24" t="n"/>
    </row>
    <row r="332">
      <c r="A332" s="20" t="n"/>
      <c r="B332" s="20" t="n"/>
      <c r="C332" s="20" t="n"/>
      <c r="D332" s="20" t="n"/>
      <c r="E332" s="20" t="n"/>
      <c r="F332" s="20" t="n"/>
      <c r="G332" s="20" t="n"/>
      <c r="H332" s="21" t="n"/>
      <c r="I332" s="20" t="n"/>
      <c r="J332" s="20" t="n"/>
      <c r="K332" s="22" t="n"/>
      <c r="L332" s="20" t="n"/>
      <c r="M332" s="15">
        <f>IF(L332="","",IF(OR(L332="Voicemail",L332="No answer"),"High",IF(L332="Answering service","Medium","Low")))</f>
        <v/>
      </c>
      <c r="N332" s="20" t="n"/>
      <c r="O332" s="23" t="n"/>
      <c r="P332" s="20" t="n"/>
      <c r="Q332" s="23" t="n"/>
      <c r="R332" s="17">
        <f>IF(Q332="","",Q332-TODAY())</f>
        <v/>
      </c>
      <c r="S332" s="20" t="n"/>
      <c r="T332" s="18">
        <f>IF(OR(S332="",N332&lt;&gt;"Paying"),"",IFERROR(INDEX(Plans!$B$2:$B$20,MATCH(S332,Plans!$A$2:$A$20,0)),""))</f>
        <v/>
      </c>
      <c r="U332" s="24" t="n"/>
    </row>
    <row r="333">
      <c r="A333" s="20" t="n"/>
      <c r="B333" s="20" t="n"/>
      <c r="C333" s="20" t="n"/>
      <c r="D333" s="20" t="n"/>
      <c r="E333" s="20" t="n"/>
      <c r="F333" s="20" t="n"/>
      <c r="G333" s="20" t="n"/>
      <c r="H333" s="21" t="n"/>
      <c r="I333" s="20" t="n"/>
      <c r="J333" s="20" t="n"/>
      <c r="K333" s="22" t="n"/>
      <c r="L333" s="20" t="n"/>
      <c r="M333" s="15">
        <f>IF(L333="","",IF(OR(L333="Voicemail",L333="No answer"),"High",IF(L333="Answering service","Medium","Low")))</f>
        <v/>
      </c>
      <c r="N333" s="20" t="n"/>
      <c r="O333" s="23" t="n"/>
      <c r="P333" s="20" t="n"/>
      <c r="Q333" s="23" t="n"/>
      <c r="R333" s="17">
        <f>IF(Q333="","",Q333-TODAY())</f>
        <v/>
      </c>
      <c r="S333" s="20" t="n"/>
      <c r="T333" s="18">
        <f>IF(OR(S333="",N333&lt;&gt;"Paying"),"",IFERROR(INDEX(Plans!$B$2:$B$20,MATCH(S333,Plans!$A$2:$A$20,0)),""))</f>
        <v/>
      </c>
      <c r="U333" s="24" t="n"/>
    </row>
    <row r="334">
      <c r="A334" s="20" t="n"/>
      <c r="B334" s="20" t="n"/>
      <c r="C334" s="20" t="n"/>
      <c r="D334" s="20" t="n"/>
      <c r="E334" s="20" t="n"/>
      <c r="F334" s="20" t="n"/>
      <c r="G334" s="20" t="n"/>
      <c r="H334" s="21" t="n"/>
      <c r="I334" s="20" t="n"/>
      <c r="J334" s="20" t="n"/>
      <c r="K334" s="22" t="n"/>
      <c r="L334" s="20" t="n"/>
      <c r="M334" s="15">
        <f>IF(L334="","",IF(OR(L334="Voicemail",L334="No answer"),"High",IF(L334="Answering service","Medium","Low")))</f>
        <v/>
      </c>
      <c r="N334" s="20" t="n"/>
      <c r="O334" s="23" t="n"/>
      <c r="P334" s="20" t="n"/>
      <c r="Q334" s="23" t="n"/>
      <c r="R334" s="17">
        <f>IF(Q334="","",Q334-TODAY())</f>
        <v/>
      </c>
      <c r="S334" s="20" t="n"/>
      <c r="T334" s="18">
        <f>IF(OR(S334="",N334&lt;&gt;"Paying"),"",IFERROR(INDEX(Plans!$B$2:$B$20,MATCH(S334,Plans!$A$2:$A$20,0)),""))</f>
        <v/>
      </c>
      <c r="U334" s="24" t="n"/>
    </row>
    <row r="335">
      <c r="A335" s="20" t="n"/>
      <c r="B335" s="20" t="n"/>
      <c r="C335" s="20" t="n"/>
      <c r="D335" s="20" t="n"/>
      <c r="E335" s="20" t="n"/>
      <c r="F335" s="20" t="n"/>
      <c r="G335" s="20" t="n"/>
      <c r="H335" s="21" t="n"/>
      <c r="I335" s="20" t="n"/>
      <c r="J335" s="20" t="n"/>
      <c r="K335" s="22" t="n"/>
      <c r="L335" s="20" t="n"/>
      <c r="M335" s="15">
        <f>IF(L335="","",IF(OR(L335="Voicemail",L335="No answer"),"High",IF(L335="Answering service","Medium","Low")))</f>
        <v/>
      </c>
      <c r="N335" s="20" t="n"/>
      <c r="O335" s="23" t="n"/>
      <c r="P335" s="20" t="n"/>
      <c r="Q335" s="23" t="n"/>
      <c r="R335" s="17">
        <f>IF(Q335="","",Q335-TODAY())</f>
        <v/>
      </c>
      <c r="S335" s="20" t="n"/>
      <c r="T335" s="18">
        <f>IF(OR(S335="",N335&lt;&gt;"Paying"),"",IFERROR(INDEX(Plans!$B$2:$B$20,MATCH(S335,Plans!$A$2:$A$20,0)),""))</f>
        <v/>
      </c>
      <c r="U335" s="24" t="n"/>
    </row>
    <row r="336">
      <c r="A336" s="20" t="n"/>
      <c r="B336" s="20" t="n"/>
      <c r="C336" s="20" t="n"/>
      <c r="D336" s="20" t="n"/>
      <c r="E336" s="20" t="n"/>
      <c r="F336" s="20" t="n"/>
      <c r="G336" s="20" t="n"/>
      <c r="H336" s="21" t="n"/>
      <c r="I336" s="20" t="n"/>
      <c r="J336" s="20" t="n"/>
      <c r="K336" s="22" t="n"/>
      <c r="L336" s="20" t="n"/>
      <c r="M336" s="15">
        <f>IF(L336="","",IF(OR(L336="Voicemail",L336="No answer"),"High",IF(L336="Answering service","Medium","Low")))</f>
        <v/>
      </c>
      <c r="N336" s="20" t="n"/>
      <c r="O336" s="23" t="n"/>
      <c r="P336" s="20" t="n"/>
      <c r="Q336" s="23" t="n"/>
      <c r="R336" s="17">
        <f>IF(Q336="","",Q336-TODAY())</f>
        <v/>
      </c>
      <c r="S336" s="20" t="n"/>
      <c r="T336" s="18">
        <f>IF(OR(S336="",N336&lt;&gt;"Paying"),"",IFERROR(INDEX(Plans!$B$2:$B$20,MATCH(S336,Plans!$A$2:$A$20,0)),""))</f>
        <v/>
      </c>
      <c r="U336" s="24" t="n"/>
    </row>
    <row r="337">
      <c r="A337" s="20" t="n"/>
      <c r="B337" s="20" t="n"/>
      <c r="C337" s="20" t="n"/>
      <c r="D337" s="20" t="n"/>
      <c r="E337" s="20" t="n"/>
      <c r="F337" s="20" t="n"/>
      <c r="G337" s="20" t="n"/>
      <c r="H337" s="21" t="n"/>
      <c r="I337" s="20" t="n"/>
      <c r="J337" s="20" t="n"/>
      <c r="K337" s="22" t="n"/>
      <c r="L337" s="20" t="n"/>
      <c r="M337" s="15">
        <f>IF(L337="","",IF(OR(L337="Voicemail",L337="No answer"),"High",IF(L337="Answering service","Medium","Low")))</f>
        <v/>
      </c>
      <c r="N337" s="20" t="n"/>
      <c r="O337" s="23" t="n"/>
      <c r="P337" s="20" t="n"/>
      <c r="Q337" s="23" t="n"/>
      <c r="R337" s="17">
        <f>IF(Q337="","",Q337-TODAY())</f>
        <v/>
      </c>
      <c r="S337" s="20" t="n"/>
      <c r="T337" s="18">
        <f>IF(OR(S337="",N337&lt;&gt;"Paying"),"",IFERROR(INDEX(Plans!$B$2:$B$20,MATCH(S337,Plans!$A$2:$A$20,0)),""))</f>
        <v/>
      </c>
      <c r="U337" s="24" t="n"/>
    </row>
    <row r="338">
      <c r="A338" s="20" t="n"/>
      <c r="B338" s="20" t="n"/>
      <c r="C338" s="20" t="n"/>
      <c r="D338" s="20" t="n"/>
      <c r="E338" s="20" t="n"/>
      <c r="F338" s="20" t="n"/>
      <c r="G338" s="20" t="n"/>
      <c r="H338" s="21" t="n"/>
      <c r="I338" s="20" t="n"/>
      <c r="J338" s="20" t="n"/>
      <c r="K338" s="22" t="n"/>
      <c r="L338" s="20" t="n"/>
      <c r="M338" s="15">
        <f>IF(L338="","",IF(OR(L338="Voicemail",L338="No answer"),"High",IF(L338="Answering service","Medium","Low")))</f>
        <v/>
      </c>
      <c r="N338" s="20" t="n"/>
      <c r="O338" s="23" t="n"/>
      <c r="P338" s="20" t="n"/>
      <c r="Q338" s="23" t="n"/>
      <c r="R338" s="17">
        <f>IF(Q338="","",Q338-TODAY())</f>
        <v/>
      </c>
      <c r="S338" s="20" t="n"/>
      <c r="T338" s="18">
        <f>IF(OR(S338="",N338&lt;&gt;"Paying"),"",IFERROR(INDEX(Plans!$B$2:$B$20,MATCH(S338,Plans!$A$2:$A$20,0)),""))</f>
        <v/>
      </c>
      <c r="U338" s="24" t="n"/>
    </row>
    <row r="339">
      <c r="A339" s="20" t="n"/>
      <c r="B339" s="20" t="n"/>
      <c r="C339" s="20" t="n"/>
      <c r="D339" s="20" t="n"/>
      <c r="E339" s="20" t="n"/>
      <c r="F339" s="20" t="n"/>
      <c r="G339" s="20" t="n"/>
      <c r="H339" s="21" t="n"/>
      <c r="I339" s="20" t="n"/>
      <c r="J339" s="20" t="n"/>
      <c r="K339" s="22" t="n"/>
      <c r="L339" s="20" t="n"/>
      <c r="M339" s="15">
        <f>IF(L339="","",IF(OR(L339="Voicemail",L339="No answer"),"High",IF(L339="Answering service","Medium","Low")))</f>
        <v/>
      </c>
      <c r="N339" s="20" t="n"/>
      <c r="O339" s="23" t="n"/>
      <c r="P339" s="20" t="n"/>
      <c r="Q339" s="23" t="n"/>
      <c r="R339" s="17">
        <f>IF(Q339="","",Q339-TODAY())</f>
        <v/>
      </c>
      <c r="S339" s="20" t="n"/>
      <c r="T339" s="18">
        <f>IF(OR(S339="",N339&lt;&gt;"Paying"),"",IFERROR(INDEX(Plans!$B$2:$B$20,MATCH(S339,Plans!$A$2:$A$20,0)),""))</f>
        <v/>
      </c>
      <c r="U339" s="24" t="n"/>
    </row>
    <row r="340">
      <c r="A340" s="20" t="n"/>
      <c r="B340" s="20" t="n"/>
      <c r="C340" s="20" t="n"/>
      <c r="D340" s="20" t="n"/>
      <c r="E340" s="20" t="n"/>
      <c r="F340" s="20" t="n"/>
      <c r="G340" s="20" t="n"/>
      <c r="H340" s="21" t="n"/>
      <c r="I340" s="20" t="n"/>
      <c r="J340" s="20" t="n"/>
      <c r="K340" s="22" t="n"/>
      <c r="L340" s="20" t="n"/>
      <c r="M340" s="15">
        <f>IF(L340="","",IF(OR(L340="Voicemail",L340="No answer"),"High",IF(L340="Answering service","Medium","Low")))</f>
        <v/>
      </c>
      <c r="N340" s="20" t="n"/>
      <c r="O340" s="23" t="n"/>
      <c r="P340" s="20" t="n"/>
      <c r="Q340" s="23" t="n"/>
      <c r="R340" s="17">
        <f>IF(Q340="","",Q340-TODAY())</f>
        <v/>
      </c>
      <c r="S340" s="20" t="n"/>
      <c r="T340" s="18">
        <f>IF(OR(S340="",N340&lt;&gt;"Paying"),"",IFERROR(INDEX(Plans!$B$2:$B$20,MATCH(S340,Plans!$A$2:$A$20,0)),""))</f>
        <v/>
      </c>
      <c r="U340" s="24" t="n"/>
    </row>
    <row r="341">
      <c r="A341" s="20" t="n"/>
      <c r="B341" s="20" t="n"/>
      <c r="C341" s="20" t="n"/>
      <c r="D341" s="20" t="n"/>
      <c r="E341" s="20" t="n"/>
      <c r="F341" s="20" t="n"/>
      <c r="G341" s="20" t="n"/>
      <c r="H341" s="21" t="n"/>
      <c r="I341" s="20" t="n"/>
      <c r="J341" s="20" t="n"/>
      <c r="K341" s="22" t="n"/>
      <c r="L341" s="20" t="n"/>
      <c r="M341" s="15">
        <f>IF(L341="","",IF(OR(L341="Voicemail",L341="No answer"),"High",IF(L341="Answering service","Medium","Low")))</f>
        <v/>
      </c>
      <c r="N341" s="20" t="n"/>
      <c r="O341" s="23" t="n"/>
      <c r="P341" s="20" t="n"/>
      <c r="Q341" s="23" t="n"/>
      <c r="R341" s="17">
        <f>IF(Q341="","",Q341-TODAY())</f>
        <v/>
      </c>
      <c r="S341" s="20" t="n"/>
      <c r="T341" s="18">
        <f>IF(OR(S341="",N341&lt;&gt;"Paying"),"",IFERROR(INDEX(Plans!$B$2:$B$20,MATCH(S341,Plans!$A$2:$A$20,0)),""))</f>
        <v/>
      </c>
      <c r="U341" s="24" t="n"/>
    </row>
    <row r="342">
      <c r="A342" s="20" t="n"/>
      <c r="B342" s="20" t="n"/>
      <c r="C342" s="20" t="n"/>
      <c r="D342" s="20" t="n"/>
      <c r="E342" s="20" t="n"/>
      <c r="F342" s="20" t="n"/>
      <c r="G342" s="20" t="n"/>
      <c r="H342" s="21" t="n"/>
      <c r="I342" s="20" t="n"/>
      <c r="J342" s="20" t="n"/>
      <c r="K342" s="22" t="n"/>
      <c r="L342" s="20" t="n"/>
      <c r="M342" s="15">
        <f>IF(L342="","",IF(OR(L342="Voicemail",L342="No answer"),"High",IF(L342="Answering service","Medium","Low")))</f>
        <v/>
      </c>
      <c r="N342" s="20" t="n"/>
      <c r="O342" s="23" t="n"/>
      <c r="P342" s="20" t="n"/>
      <c r="Q342" s="23" t="n"/>
      <c r="R342" s="17">
        <f>IF(Q342="","",Q342-TODAY())</f>
        <v/>
      </c>
      <c r="S342" s="20" t="n"/>
      <c r="T342" s="18">
        <f>IF(OR(S342="",N342&lt;&gt;"Paying"),"",IFERROR(INDEX(Plans!$B$2:$B$20,MATCH(S342,Plans!$A$2:$A$20,0)),""))</f>
        <v/>
      </c>
      <c r="U342" s="24" t="n"/>
    </row>
    <row r="343">
      <c r="A343" s="20" t="n"/>
      <c r="B343" s="20" t="n"/>
      <c r="C343" s="20" t="n"/>
      <c r="D343" s="20" t="n"/>
      <c r="E343" s="20" t="n"/>
      <c r="F343" s="20" t="n"/>
      <c r="G343" s="20" t="n"/>
      <c r="H343" s="21" t="n"/>
      <c r="I343" s="20" t="n"/>
      <c r="J343" s="20" t="n"/>
      <c r="K343" s="22" t="n"/>
      <c r="L343" s="20" t="n"/>
      <c r="M343" s="15">
        <f>IF(L343="","",IF(OR(L343="Voicemail",L343="No answer"),"High",IF(L343="Answering service","Medium","Low")))</f>
        <v/>
      </c>
      <c r="N343" s="20" t="n"/>
      <c r="O343" s="23" t="n"/>
      <c r="P343" s="20" t="n"/>
      <c r="Q343" s="23" t="n"/>
      <c r="R343" s="17">
        <f>IF(Q343="","",Q343-TODAY())</f>
        <v/>
      </c>
      <c r="S343" s="20" t="n"/>
      <c r="T343" s="18">
        <f>IF(OR(S343="",N343&lt;&gt;"Paying"),"",IFERROR(INDEX(Plans!$B$2:$B$20,MATCH(S343,Plans!$A$2:$A$20,0)),""))</f>
        <v/>
      </c>
      <c r="U343" s="24" t="n"/>
    </row>
    <row r="344">
      <c r="A344" s="20" t="n"/>
      <c r="B344" s="20" t="n"/>
      <c r="C344" s="20" t="n"/>
      <c r="D344" s="20" t="n"/>
      <c r="E344" s="20" t="n"/>
      <c r="F344" s="20" t="n"/>
      <c r="G344" s="20" t="n"/>
      <c r="H344" s="21" t="n"/>
      <c r="I344" s="20" t="n"/>
      <c r="J344" s="20" t="n"/>
      <c r="K344" s="22" t="n"/>
      <c r="L344" s="20" t="n"/>
      <c r="M344" s="15">
        <f>IF(L344="","",IF(OR(L344="Voicemail",L344="No answer"),"High",IF(L344="Answering service","Medium","Low")))</f>
        <v/>
      </c>
      <c r="N344" s="20" t="n"/>
      <c r="O344" s="23" t="n"/>
      <c r="P344" s="20" t="n"/>
      <c r="Q344" s="23" t="n"/>
      <c r="R344" s="17">
        <f>IF(Q344="","",Q344-TODAY())</f>
        <v/>
      </c>
      <c r="S344" s="20" t="n"/>
      <c r="T344" s="18">
        <f>IF(OR(S344="",N344&lt;&gt;"Paying"),"",IFERROR(INDEX(Plans!$B$2:$B$20,MATCH(S344,Plans!$A$2:$A$20,0)),""))</f>
        <v/>
      </c>
      <c r="U344" s="24" t="n"/>
    </row>
    <row r="345">
      <c r="A345" s="20" t="n"/>
      <c r="B345" s="20" t="n"/>
      <c r="C345" s="20" t="n"/>
      <c r="D345" s="20" t="n"/>
      <c r="E345" s="20" t="n"/>
      <c r="F345" s="20" t="n"/>
      <c r="G345" s="20" t="n"/>
      <c r="H345" s="21" t="n"/>
      <c r="I345" s="20" t="n"/>
      <c r="J345" s="20" t="n"/>
      <c r="K345" s="22" t="n"/>
      <c r="L345" s="20" t="n"/>
      <c r="M345" s="15">
        <f>IF(L345="","",IF(OR(L345="Voicemail",L345="No answer"),"High",IF(L345="Answering service","Medium","Low")))</f>
        <v/>
      </c>
      <c r="N345" s="20" t="n"/>
      <c r="O345" s="23" t="n"/>
      <c r="P345" s="20" t="n"/>
      <c r="Q345" s="23" t="n"/>
      <c r="R345" s="17">
        <f>IF(Q345="","",Q345-TODAY())</f>
        <v/>
      </c>
      <c r="S345" s="20" t="n"/>
      <c r="T345" s="18">
        <f>IF(OR(S345="",N345&lt;&gt;"Paying"),"",IFERROR(INDEX(Plans!$B$2:$B$20,MATCH(S345,Plans!$A$2:$A$20,0)),""))</f>
        <v/>
      </c>
      <c r="U345" s="24" t="n"/>
    </row>
    <row r="346">
      <c r="A346" s="20" t="n"/>
      <c r="B346" s="20" t="n"/>
      <c r="C346" s="20" t="n"/>
      <c r="D346" s="20" t="n"/>
      <c r="E346" s="20" t="n"/>
      <c r="F346" s="20" t="n"/>
      <c r="G346" s="20" t="n"/>
      <c r="H346" s="21" t="n"/>
      <c r="I346" s="20" t="n"/>
      <c r="J346" s="20" t="n"/>
      <c r="K346" s="22" t="n"/>
      <c r="L346" s="20" t="n"/>
      <c r="M346" s="15">
        <f>IF(L346="","",IF(OR(L346="Voicemail",L346="No answer"),"High",IF(L346="Answering service","Medium","Low")))</f>
        <v/>
      </c>
      <c r="N346" s="20" t="n"/>
      <c r="O346" s="23" t="n"/>
      <c r="P346" s="20" t="n"/>
      <c r="Q346" s="23" t="n"/>
      <c r="R346" s="17">
        <f>IF(Q346="","",Q346-TODAY())</f>
        <v/>
      </c>
      <c r="S346" s="20" t="n"/>
      <c r="T346" s="18">
        <f>IF(OR(S346="",N346&lt;&gt;"Paying"),"",IFERROR(INDEX(Plans!$B$2:$B$20,MATCH(S346,Plans!$A$2:$A$20,0)),""))</f>
        <v/>
      </c>
      <c r="U346" s="24" t="n"/>
    </row>
    <row r="347">
      <c r="A347" s="20" t="n"/>
      <c r="B347" s="20" t="n"/>
      <c r="C347" s="20" t="n"/>
      <c r="D347" s="20" t="n"/>
      <c r="E347" s="20" t="n"/>
      <c r="F347" s="20" t="n"/>
      <c r="G347" s="20" t="n"/>
      <c r="H347" s="21" t="n"/>
      <c r="I347" s="20" t="n"/>
      <c r="J347" s="20" t="n"/>
      <c r="K347" s="22" t="n"/>
      <c r="L347" s="20" t="n"/>
      <c r="M347" s="15">
        <f>IF(L347="","",IF(OR(L347="Voicemail",L347="No answer"),"High",IF(L347="Answering service","Medium","Low")))</f>
        <v/>
      </c>
      <c r="N347" s="20" t="n"/>
      <c r="O347" s="23" t="n"/>
      <c r="P347" s="20" t="n"/>
      <c r="Q347" s="23" t="n"/>
      <c r="R347" s="17">
        <f>IF(Q347="","",Q347-TODAY())</f>
        <v/>
      </c>
      <c r="S347" s="20" t="n"/>
      <c r="T347" s="18">
        <f>IF(OR(S347="",N347&lt;&gt;"Paying"),"",IFERROR(INDEX(Plans!$B$2:$B$20,MATCH(S347,Plans!$A$2:$A$20,0)),""))</f>
        <v/>
      </c>
      <c r="U347" s="24" t="n"/>
    </row>
    <row r="348">
      <c r="A348" s="20" t="n"/>
      <c r="B348" s="20" t="n"/>
      <c r="C348" s="20" t="n"/>
      <c r="D348" s="20" t="n"/>
      <c r="E348" s="20" t="n"/>
      <c r="F348" s="20" t="n"/>
      <c r="G348" s="20" t="n"/>
      <c r="H348" s="21" t="n"/>
      <c r="I348" s="20" t="n"/>
      <c r="J348" s="20" t="n"/>
      <c r="K348" s="22" t="n"/>
      <c r="L348" s="20" t="n"/>
      <c r="M348" s="15">
        <f>IF(L348="","",IF(OR(L348="Voicemail",L348="No answer"),"High",IF(L348="Answering service","Medium","Low")))</f>
        <v/>
      </c>
      <c r="N348" s="20" t="n"/>
      <c r="O348" s="23" t="n"/>
      <c r="P348" s="20" t="n"/>
      <c r="Q348" s="23" t="n"/>
      <c r="R348" s="17">
        <f>IF(Q348="","",Q348-TODAY())</f>
        <v/>
      </c>
      <c r="S348" s="20" t="n"/>
      <c r="T348" s="18">
        <f>IF(OR(S348="",N348&lt;&gt;"Paying"),"",IFERROR(INDEX(Plans!$B$2:$B$20,MATCH(S348,Plans!$A$2:$A$20,0)),""))</f>
        <v/>
      </c>
      <c r="U348" s="24" t="n"/>
    </row>
    <row r="349">
      <c r="A349" s="20" t="n"/>
      <c r="B349" s="20" t="n"/>
      <c r="C349" s="20" t="n"/>
      <c r="D349" s="20" t="n"/>
      <c r="E349" s="20" t="n"/>
      <c r="F349" s="20" t="n"/>
      <c r="G349" s="20" t="n"/>
      <c r="H349" s="21" t="n"/>
      <c r="I349" s="20" t="n"/>
      <c r="J349" s="20" t="n"/>
      <c r="K349" s="22" t="n"/>
      <c r="L349" s="20" t="n"/>
      <c r="M349" s="15">
        <f>IF(L349="","",IF(OR(L349="Voicemail",L349="No answer"),"High",IF(L349="Answering service","Medium","Low")))</f>
        <v/>
      </c>
      <c r="N349" s="20" t="n"/>
      <c r="O349" s="23" t="n"/>
      <c r="P349" s="20" t="n"/>
      <c r="Q349" s="23" t="n"/>
      <c r="R349" s="17">
        <f>IF(Q349="","",Q349-TODAY())</f>
        <v/>
      </c>
      <c r="S349" s="20" t="n"/>
      <c r="T349" s="18">
        <f>IF(OR(S349="",N349&lt;&gt;"Paying"),"",IFERROR(INDEX(Plans!$B$2:$B$20,MATCH(S349,Plans!$A$2:$A$20,0)),""))</f>
        <v/>
      </c>
      <c r="U349" s="24" t="n"/>
    </row>
    <row r="350">
      <c r="A350" s="20" t="n"/>
      <c r="B350" s="20" t="n"/>
      <c r="C350" s="20" t="n"/>
      <c r="D350" s="20" t="n"/>
      <c r="E350" s="20" t="n"/>
      <c r="F350" s="20" t="n"/>
      <c r="G350" s="20" t="n"/>
      <c r="H350" s="21" t="n"/>
      <c r="I350" s="20" t="n"/>
      <c r="J350" s="20" t="n"/>
      <c r="K350" s="22" t="n"/>
      <c r="L350" s="20" t="n"/>
      <c r="M350" s="15">
        <f>IF(L350="","",IF(OR(L350="Voicemail",L350="No answer"),"High",IF(L350="Answering service","Medium","Low")))</f>
        <v/>
      </c>
      <c r="N350" s="20" t="n"/>
      <c r="O350" s="23" t="n"/>
      <c r="P350" s="20" t="n"/>
      <c r="Q350" s="23" t="n"/>
      <c r="R350" s="17">
        <f>IF(Q350="","",Q350-TODAY())</f>
        <v/>
      </c>
      <c r="S350" s="20" t="n"/>
      <c r="T350" s="18">
        <f>IF(OR(S350="",N350&lt;&gt;"Paying"),"",IFERROR(INDEX(Plans!$B$2:$B$20,MATCH(S350,Plans!$A$2:$A$20,0)),""))</f>
        <v/>
      </c>
      <c r="U350" s="24" t="n"/>
    </row>
    <row r="351">
      <c r="A351" s="20" t="n"/>
      <c r="B351" s="20" t="n"/>
      <c r="C351" s="20" t="n"/>
      <c r="D351" s="20" t="n"/>
      <c r="E351" s="20" t="n"/>
      <c r="F351" s="20" t="n"/>
      <c r="G351" s="20" t="n"/>
      <c r="H351" s="21" t="n"/>
      <c r="I351" s="20" t="n"/>
      <c r="J351" s="20" t="n"/>
      <c r="K351" s="22" t="n"/>
      <c r="L351" s="20" t="n"/>
      <c r="M351" s="15">
        <f>IF(L351="","",IF(OR(L351="Voicemail",L351="No answer"),"High",IF(L351="Answering service","Medium","Low")))</f>
        <v/>
      </c>
      <c r="N351" s="20" t="n"/>
      <c r="O351" s="23" t="n"/>
      <c r="P351" s="20" t="n"/>
      <c r="Q351" s="23" t="n"/>
      <c r="R351" s="17">
        <f>IF(Q351="","",Q351-TODAY())</f>
        <v/>
      </c>
      <c r="S351" s="20" t="n"/>
      <c r="T351" s="18">
        <f>IF(OR(S351="",N351&lt;&gt;"Paying"),"",IFERROR(INDEX(Plans!$B$2:$B$20,MATCH(S351,Plans!$A$2:$A$20,0)),""))</f>
        <v/>
      </c>
      <c r="U351" s="24" t="n"/>
    </row>
    <row r="352">
      <c r="A352" s="20" t="n"/>
      <c r="B352" s="20" t="n"/>
      <c r="C352" s="20" t="n"/>
      <c r="D352" s="20" t="n"/>
      <c r="E352" s="20" t="n"/>
      <c r="F352" s="20" t="n"/>
      <c r="G352" s="20" t="n"/>
      <c r="H352" s="21" t="n"/>
      <c r="I352" s="20" t="n"/>
      <c r="J352" s="20" t="n"/>
      <c r="K352" s="22" t="n"/>
      <c r="L352" s="20" t="n"/>
      <c r="M352" s="15">
        <f>IF(L352="","",IF(OR(L352="Voicemail",L352="No answer"),"High",IF(L352="Answering service","Medium","Low")))</f>
        <v/>
      </c>
      <c r="N352" s="20" t="n"/>
      <c r="O352" s="23" t="n"/>
      <c r="P352" s="20" t="n"/>
      <c r="Q352" s="23" t="n"/>
      <c r="R352" s="17">
        <f>IF(Q352="","",Q352-TODAY())</f>
        <v/>
      </c>
      <c r="S352" s="20" t="n"/>
      <c r="T352" s="18">
        <f>IF(OR(S352="",N352&lt;&gt;"Paying"),"",IFERROR(INDEX(Plans!$B$2:$B$20,MATCH(S352,Plans!$A$2:$A$20,0)),""))</f>
        <v/>
      </c>
      <c r="U352" s="24" t="n"/>
    </row>
    <row r="353">
      <c r="A353" s="20" t="n"/>
      <c r="B353" s="20" t="n"/>
      <c r="C353" s="20" t="n"/>
      <c r="D353" s="20" t="n"/>
      <c r="E353" s="20" t="n"/>
      <c r="F353" s="20" t="n"/>
      <c r="G353" s="20" t="n"/>
      <c r="H353" s="21" t="n"/>
      <c r="I353" s="20" t="n"/>
      <c r="J353" s="20" t="n"/>
      <c r="K353" s="22" t="n"/>
      <c r="L353" s="20" t="n"/>
      <c r="M353" s="15">
        <f>IF(L353="","",IF(OR(L353="Voicemail",L353="No answer"),"High",IF(L353="Answering service","Medium","Low")))</f>
        <v/>
      </c>
      <c r="N353" s="20" t="n"/>
      <c r="O353" s="23" t="n"/>
      <c r="P353" s="20" t="n"/>
      <c r="Q353" s="23" t="n"/>
      <c r="R353" s="17">
        <f>IF(Q353="","",Q353-TODAY())</f>
        <v/>
      </c>
      <c r="S353" s="20" t="n"/>
      <c r="T353" s="18">
        <f>IF(OR(S353="",N353&lt;&gt;"Paying"),"",IFERROR(INDEX(Plans!$B$2:$B$20,MATCH(S353,Plans!$A$2:$A$20,0)),""))</f>
        <v/>
      </c>
      <c r="U353" s="24" t="n"/>
    </row>
    <row r="354">
      <c r="A354" s="20" t="n"/>
      <c r="B354" s="20" t="n"/>
      <c r="C354" s="20" t="n"/>
      <c r="D354" s="20" t="n"/>
      <c r="E354" s="20" t="n"/>
      <c r="F354" s="20" t="n"/>
      <c r="G354" s="20" t="n"/>
      <c r="H354" s="21" t="n"/>
      <c r="I354" s="20" t="n"/>
      <c r="J354" s="20" t="n"/>
      <c r="K354" s="22" t="n"/>
      <c r="L354" s="20" t="n"/>
      <c r="M354" s="15">
        <f>IF(L354="","",IF(OR(L354="Voicemail",L354="No answer"),"High",IF(L354="Answering service","Medium","Low")))</f>
        <v/>
      </c>
      <c r="N354" s="20" t="n"/>
      <c r="O354" s="23" t="n"/>
      <c r="P354" s="20" t="n"/>
      <c r="Q354" s="23" t="n"/>
      <c r="R354" s="17">
        <f>IF(Q354="","",Q354-TODAY())</f>
        <v/>
      </c>
      <c r="S354" s="20" t="n"/>
      <c r="T354" s="18">
        <f>IF(OR(S354="",N354&lt;&gt;"Paying"),"",IFERROR(INDEX(Plans!$B$2:$B$20,MATCH(S354,Plans!$A$2:$A$20,0)),""))</f>
        <v/>
      </c>
      <c r="U354" s="24" t="n"/>
    </row>
    <row r="355">
      <c r="A355" s="20" t="n"/>
      <c r="B355" s="20" t="n"/>
      <c r="C355" s="20" t="n"/>
      <c r="D355" s="20" t="n"/>
      <c r="E355" s="20" t="n"/>
      <c r="F355" s="20" t="n"/>
      <c r="G355" s="20" t="n"/>
      <c r="H355" s="21" t="n"/>
      <c r="I355" s="20" t="n"/>
      <c r="J355" s="20" t="n"/>
      <c r="K355" s="22" t="n"/>
      <c r="L355" s="20" t="n"/>
      <c r="M355" s="15">
        <f>IF(L355="","",IF(OR(L355="Voicemail",L355="No answer"),"High",IF(L355="Answering service","Medium","Low")))</f>
        <v/>
      </c>
      <c r="N355" s="20" t="n"/>
      <c r="O355" s="23" t="n"/>
      <c r="P355" s="20" t="n"/>
      <c r="Q355" s="23" t="n"/>
      <c r="R355" s="17">
        <f>IF(Q355="","",Q355-TODAY())</f>
        <v/>
      </c>
      <c r="S355" s="20" t="n"/>
      <c r="T355" s="18">
        <f>IF(OR(S355="",N355&lt;&gt;"Paying"),"",IFERROR(INDEX(Plans!$B$2:$B$20,MATCH(S355,Plans!$A$2:$A$20,0)),""))</f>
        <v/>
      </c>
      <c r="U355" s="24" t="n"/>
    </row>
    <row r="356">
      <c r="A356" s="20" t="n"/>
      <c r="B356" s="20" t="n"/>
      <c r="C356" s="20" t="n"/>
      <c r="D356" s="20" t="n"/>
      <c r="E356" s="20" t="n"/>
      <c r="F356" s="20" t="n"/>
      <c r="G356" s="20" t="n"/>
      <c r="H356" s="21" t="n"/>
      <c r="I356" s="20" t="n"/>
      <c r="J356" s="20" t="n"/>
      <c r="K356" s="22" t="n"/>
      <c r="L356" s="20" t="n"/>
      <c r="M356" s="15">
        <f>IF(L356="","",IF(OR(L356="Voicemail",L356="No answer"),"High",IF(L356="Answering service","Medium","Low")))</f>
        <v/>
      </c>
      <c r="N356" s="20" t="n"/>
      <c r="O356" s="23" t="n"/>
      <c r="P356" s="20" t="n"/>
      <c r="Q356" s="23" t="n"/>
      <c r="R356" s="17">
        <f>IF(Q356="","",Q356-TODAY())</f>
        <v/>
      </c>
      <c r="S356" s="20" t="n"/>
      <c r="T356" s="18">
        <f>IF(OR(S356="",N356&lt;&gt;"Paying"),"",IFERROR(INDEX(Plans!$B$2:$B$20,MATCH(S356,Plans!$A$2:$A$20,0)),""))</f>
        <v/>
      </c>
      <c r="U356" s="24" t="n"/>
    </row>
    <row r="357">
      <c r="A357" s="20" t="n"/>
      <c r="B357" s="20" t="n"/>
      <c r="C357" s="20" t="n"/>
      <c r="D357" s="20" t="n"/>
      <c r="E357" s="20" t="n"/>
      <c r="F357" s="20" t="n"/>
      <c r="G357" s="20" t="n"/>
      <c r="H357" s="21" t="n"/>
      <c r="I357" s="20" t="n"/>
      <c r="J357" s="20" t="n"/>
      <c r="K357" s="22" t="n"/>
      <c r="L357" s="20" t="n"/>
      <c r="M357" s="15">
        <f>IF(L357="","",IF(OR(L357="Voicemail",L357="No answer"),"High",IF(L357="Answering service","Medium","Low")))</f>
        <v/>
      </c>
      <c r="N357" s="20" t="n"/>
      <c r="O357" s="23" t="n"/>
      <c r="P357" s="20" t="n"/>
      <c r="Q357" s="23" t="n"/>
      <c r="R357" s="17">
        <f>IF(Q357="","",Q357-TODAY())</f>
        <v/>
      </c>
      <c r="S357" s="20" t="n"/>
      <c r="T357" s="18">
        <f>IF(OR(S357="",N357&lt;&gt;"Paying"),"",IFERROR(INDEX(Plans!$B$2:$B$20,MATCH(S357,Plans!$A$2:$A$20,0)),""))</f>
        <v/>
      </c>
      <c r="U357" s="24" t="n"/>
    </row>
    <row r="358">
      <c r="A358" s="20" t="n"/>
      <c r="B358" s="20" t="n"/>
      <c r="C358" s="20" t="n"/>
      <c r="D358" s="20" t="n"/>
      <c r="E358" s="20" t="n"/>
      <c r="F358" s="20" t="n"/>
      <c r="G358" s="20" t="n"/>
      <c r="H358" s="21" t="n"/>
      <c r="I358" s="20" t="n"/>
      <c r="J358" s="20" t="n"/>
      <c r="K358" s="22" t="n"/>
      <c r="L358" s="20" t="n"/>
      <c r="M358" s="15">
        <f>IF(L358="","",IF(OR(L358="Voicemail",L358="No answer"),"High",IF(L358="Answering service","Medium","Low")))</f>
        <v/>
      </c>
      <c r="N358" s="20" t="n"/>
      <c r="O358" s="23" t="n"/>
      <c r="P358" s="20" t="n"/>
      <c r="Q358" s="23" t="n"/>
      <c r="R358" s="17">
        <f>IF(Q358="","",Q358-TODAY())</f>
        <v/>
      </c>
      <c r="S358" s="20" t="n"/>
      <c r="T358" s="18">
        <f>IF(OR(S358="",N358&lt;&gt;"Paying"),"",IFERROR(INDEX(Plans!$B$2:$B$20,MATCH(S358,Plans!$A$2:$A$20,0)),""))</f>
        <v/>
      </c>
      <c r="U358" s="24" t="n"/>
    </row>
    <row r="359">
      <c r="A359" s="20" t="n"/>
      <c r="B359" s="20" t="n"/>
      <c r="C359" s="20" t="n"/>
      <c r="D359" s="20" t="n"/>
      <c r="E359" s="20" t="n"/>
      <c r="F359" s="20" t="n"/>
      <c r="G359" s="20" t="n"/>
      <c r="H359" s="21" t="n"/>
      <c r="I359" s="20" t="n"/>
      <c r="J359" s="20" t="n"/>
      <c r="K359" s="22" t="n"/>
      <c r="L359" s="20" t="n"/>
      <c r="M359" s="15">
        <f>IF(L359="","",IF(OR(L359="Voicemail",L359="No answer"),"High",IF(L359="Answering service","Medium","Low")))</f>
        <v/>
      </c>
      <c r="N359" s="20" t="n"/>
      <c r="O359" s="23" t="n"/>
      <c r="P359" s="20" t="n"/>
      <c r="Q359" s="23" t="n"/>
      <c r="R359" s="17">
        <f>IF(Q359="","",Q359-TODAY())</f>
        <v/>
      </c>
      <c r="S359" s="20" t="n"/>
      <c r="T359" s="18">
        <f>IF(OR(S359="",N359&lt;&gt;"Paying"),"",IFERROR(INDEX(Plans!$B$2:$B$20,MATCH(S359,Plans!$A$2:$A$20,0)),""))</f>
        <v/>
      </c>
      <c r="U359" s="24" t="n"/>
    </row>
    <row r="360">
      <c r="A360" s="20" t="n"/>
      <c r="B360" s="20" t="n"/>
      <c r="C360" s="20" t="n"/>
      <c r="D360" s="20" t="n"/>
      <c r="E360" s="20" t="n"/>
      <c r="F360" s="20" t="n"/>
      <c r="G360" s="20" t="n"/>
      <c r="H360" s="21" t="n"/>
      <c r="I360" s="20" t="n"/>
      <c r="J360" s="20" t="n"/>
      <c r="K360" s="22" t="n"/>
      <c r="L360" s="20" t="n"/>
      <c r="M360" s="15">
        <f>IF(L360="","",IF(OR(L360="Voicemail",L360="No answer"),"High",IF(L360="Answering service","Medium","Low")))</f>
        <v/>
      </c>
      <c r="N360" s="20" t="n"/>
      <c r="O360" s="23" t="n"/>
      <c r="P360" s="20" t="n"/>
      <c r="Q360" s="23" t="n"/>
      <c r="R360" s="17">
        <f>IF(Q360="","",Q360-TODAY())</f>
        <v/>
      </c>
      <c r="S360" s="20" t="n"/>
      <c r="T360" s="18">
        <f>IF(OR(S360="",N360&lt;&gt;"Paying"),"",IFERROR(INDEX(Plans!$B$2:$B$20,MATCH(S360,Plans!$A$2:$A$20,0)),""))</f>
        <v/>
      </c>
      <c r="U360" s="24" t="n"/>
    </row>
    <row r="361">
      <c r="A361" s="20" t="n"/>
      <c r="B361" s="20" t="n"/>
      <c r="C361" s="20" t="n"/>
      <c r="D361" s="20" t="n"/>
      <c r="E361" s="20" t="n"/>
      <c r="F361" s="20" t="n"/>
      <c r="G361" s="20" t="n"/>
      <c r="H361" s="21" t="n"/>
      <c r="I361" s="20" t="n"/>
      <c r="J361" s="20" t="n"/>
      <c r="K361" s="22" t="n"/>
      <c r="L361" s="20" t="n"/>
      <c r="M361" s="15">
        <f>IF(L361="","",IF(OR(L361="Voicemail",L361="No answer"),"High",IF(L361="Answering service","Medium","Low")))</f>
        <v/>
      </c>
      <c r="N361" s="20" t="n"/>
      <c r="O361" s="23" t="n"/>
      <c r="P361" s="20" t="n"/>
      <c r="Q361" s="23" t="n"/>
      <c r="R361" s="17">
        <f>IF(Q361="","",Q361-TODAY())</f>
        <v/>
      </c>
      <c r="S361" s="20" t="n"/>
      <c r="T361" s="18">
        <f>IF(OR(S361="",N361&lt;&gt;"Paying"),"",IFERROR(INDEX(Plans!$B$2:$B$20,MATCH(S361,Plans!$A$2:$A$20,0)),""))</f>
        <v/>
      </c>
      <c r="U361" s="24" t="n"/>
    </row>
    <row r="362">
      <c r="A362" s="20" t="n"/>
      <c r="B362" s="20" t="n"/>
      <c r="C362" s="20" t="n"/>
      <c r="D362" s="20" t="n"/>
      <c r="E362" s="20" t="n"/>
      <c r="F362" s="20" t="n"/>
      <c r="G362" s="20" t="n"/>
      <c r="H362" s="21" t="n"/>
      <c r="I362" s="20" t="n"/>
      <c r="J362" s="20" t="n"/>
      <c r="K362" s="22" t="n"/>
      <c r="L362" s="20" t="n"/>
      <c r="M362" s="15">
        <f>IF(L362="","",IF(OR(L362="Voicemail",L362="No answer"),"High",IF(L362="Answering service","Medium","Low")))</f>
        <v/>
      </c>
      <c r="N362" s="20" t="n"/>
      <c r="O362" s="23" t="n"/>
      <c r="P362" s="20" t="n"/>
      <c r="Q362" s="23" t="n"/>
      <c r="R362" s="17">
        <f>IF(Q362="","",Q362-TODAY())</f>
        <v/>
      </c>
      <c r="S362" s="20" t="n"/>
      <c r="T362" s="18">
        <f>IF(OR(S362="",N362&lt;&gt;"Paying"),"",IFERROR(INDEX(Plans!$B$2:$B$20,MATCH(S362,Plans!$A$2:$A$20,0)),""))</f>
        <v/>
      </c>
      <c r="U362" s="24" t="n"/>
    </row>
    <row r="363">
      <c r="A363" s="20" t="n"/>
      <c r="B363" s="20" t="n"/>
      <c r="C363" s="20" t="n"/>
      <c r="D363" s="20" t="n"/>
      <c r="E363" s="20" t="n"/>
      <c r="F363" s="20" t="n"/>
      <c r="G363" s="20" t="n"/>
      <c r="H363" s="21" t="n"/>
      <c r="I363" s="20" t="n"/>
      <c r="J363" s="20" t="n"/>
      <c r="K363" s="22" t="n"/>
      <c r="L363" s="20" t="n"/>
      <c r="M363" s="15">
        <f>IF(L363="","",IF(OR(L363="Voicemail",L363="No answer"),"High",IF(L363="Answering service","Medium","Low")))</f>
        <v/>
      </c>
      <c r="N363" s="20" t="n"/>
      <c r="O363" s="23" t="n"/>
      <c r="P363" s="20" t="n"/>
      <c r="Q363" s="23" t="n"/>
      <c r="R363" s="17">
        <f>IF(Q363="","",Q363-TODAY())</f>
        <v/>
      </c>
      <c r="S363" s="20" t="n"/>
      <c r="T363" s="18">
        <f>IF(OR(S363="",N363&lt;&gt;"Paying"),"",IFERROR(INDEX(Plans!$B$2:$B$20,MATCH(S363,Plans!$A$2:$A$20,0)),""))</f>
        <v/>
      </c>
      <c r="U363" s="24" t="n"/>
    </row>
    <row r="364">
      <c r="A364" s="20" t="n"/>
      <c r="B364" s="20" t="n"/>
      <c r="C364" s="20" t="n"/>
      <c r="D364" s="20" t="n"/>
      <c r="E364" s="20" t="n"/>
      <c r="F364" s="20" t="n"/>
      <c r="G364" s="20" t="n"/>
      <c r="H364" s="21" t="n"/>
      <c r="I364" s="20" t="n"/>
      <c r="J364" s="20" t="n"/>
      <c r="K364" s="22" t="n"/>
      <c r="L364" s="20" t="n"/>
      <c r="M364" s="15">
        <f>IF(L364="","",IF(OR(L364="Voicemail",L364="No answer"),"High",IF(L364="Answering service","Medium","Low")))</f>
        <v/>
      </c>
      <c r="N364" s="20" t="n"/>
      <c r="O364" s="23" t="n"/>
      <c r="P364" s="20" t="n"/>
      <c r="Q364" s="23" t="n"/>
      <c r="R364" s="17">
        <f>IF(Q364="","",Q364-TODAY())</f>
        <v/>
      </c>
      <c r="S364" s="20" t="n"/>
      <c r="T364" s="18">
        <f>IF(OR(S364="",N364&lt;&gt;"Paying"),"",IFERROR(INDEX(Plans!$B$2:$B$20,MATCH(S364,Plans!$A$2:$A$20,0)),""))</f>
        <v/>
      </c>
      <c r="U364" s="24" t="n"/>
    </row>
    <row r="365">
      <c r="A365" s="20" t="n"/>
      <c r="B365" s="20" t="n"/>
      <c r="C365" s="20" t="n"/>
      <c r="D365" s="20" t="n"/>
      <c r="E365" s="20" t="n"/>
      <c r="F365" s="20" t="n"/>
      <c r="G365" s="20" t="n"/>
      <c r="H365" s="21" t="n"/>
      <c r="I365" s="20" t="n"/>
      <c r="J365" s="20" t="n"/>
      <c r="K365" s="22" t="n"/>
      <c r="L365" s="20" t="n"/>
      <c r="M365" s="15">
        <f>IF(L365="","",IF(OR(L365="Voicemail",L365="No answer"),"High",IF(L365="Answering service","Medium","Low")))</f>
        <v/>
      </c>
      <c r="N365" s="20" t="n"/>
      <c r="O365" s="23" t="n"/>
      <c r="P365" s="20" t="n"/>
      <c r="Q365" s="23" t="n"/>
      <c r="R365" s="17">
        <f>IF(Q365="","",Q365-TODAY())</f>
        <v/>
      </c>
      <c r="S365" s="20" t="n"/>
      <c r="T365" s="18">
        <f>IF(OR(S365="",N365&lt;&gt;"Paying"),"",IFERROR(INDEX(Plans!$B$2:$B$20,MATCH(S365,Plans!$A$2:$A$20,0)),""))</f>
        <v/>
      </c>
      <c r="U365" s="24" t="n"/>
    </row>
    <row r="366">
      <c r="A366" s="20" t="n"/>
      <c r="B366" s="20" t="n"/>
      <c r="C366" s="20" t="n"/>
      <c r="D366" s="20" t="n"/>
      <c r="E366" s="20" t="n"/>
      <c r="F366" s="20" t="n"/>
      <c r="G366" s="20" t="n"/>
      <c r="H366" s="21" t="n"/>
      <c r="I366" s="20" t="n"/>
      <c r="J366" s="20" t="n"/>
      <c r="K366" s="22" t="n"/>
      <c r="L366" s="20" t="n"/>
      <c r="M366" s="15">
        <f>IF(L366="","",IF(OR(L366="Voicemail",L366="No answer"),"High",IF(L366="Answering service","Medium","Low")))</f>
        <v/>
      </c>
      <c r="N366" s="20" t="n"/>
      <c r="O366" s="23" t="n"/>
      <c r="P366" s="20" t="n"/>
      <c r="Q366" s="23" t="n"/>
      <c r="R366" s="17">
        <f>IF(Q366="","",Q366-TODAY())</f>
        <v/>
      </c>
      <c r="S366" s="20" t="n"/>
      <c r="T366" s="18">
        <f>IF(OR(S366="",N366&lt;&gt;"Paying"),"",IFERROR(INDEX(Plans!$B$2:$B$20,MATCH(S366,Plans!$A$2:$A$20,0)),""))</f>
        <v/>
      </c>
      <c r="U366" s="24" t="n"/>
    </row>
    <row r="367">
      <c r="A367" s="20" t="n"/>
      <c r="B367" s="20" t="n"/>
      <c r="C367" s="20" t="n"/>
      <c r="D367" s="20" t="n"/>
      <c r="E367" s="20" t="n"/>
      <c r="F367" s="20" t="n"/>
      <c r="G367" s="20" t="n"/>
      <c r="H367" s="21" t="n"/>
      <c r="I367" s="20" t="n"/>
      <c r="J367" s="20" t="n"/>
      <c r="K367" s="22" t="n"/>
      <c r="L367" s="20" t="n"/>
      <c r="M367" s="15">
        <f>IF(L367="","",IF(OR(L367="Voicemail",L367="No answer"),"High",IF(L367="Answering service","Medium","Low")))</f>
        <v/>
      </c>
      <c r="N367" s="20" t="n"/>
      <c r="O367" s="23" t="n"/>
      <c r="P367" s="20" t="n"/>
      <c r="Q367" s="23" t="n"/>
      <c r="R367" s="17">
        <f>IF(Q367="","",Q367-TODAY())</f>
        <v/>
      </c>
      <c r="S367" s="20" t="n"/>
      <c r="T367" s="18">
        <f>IF(OR(S367="",N367&lt;&gt;"Paying"),"",IFERROR(INDEX(Plans!$B$2:$B$20,MATCH(S367,Plans!$A$2:$A$20,0)),""))</f>
        <v/>
      </c>
      <c r="U367" s="24" t="n"/>
    </row>
    <row r="368">
      <c r="A368" s="20" t="n"/>
      <c r="B368" s="20" t="n"/>
      <c r="C368" s="20" t="n"/>
      <c r="D368" s="20" t="n"/>
      <c r="E368" s="20" t="n"/>
      <c r="F368" s="20" t="n"/>
      <c r="G368" s="20" t="n"/>
      <c r="H368" s="21" t="n"/>
      <c r="I368" s="20" t="n"/>
      <c r="J368" s="20" t="n"/>
      <c r="K368" s="22" t="n"/>
      <c r="L368" s="20" t="n"/>
      <c r="M368" s="15">
        <f>IF(L368="","",IF(OR(L368="Voicemail",L368="No answer"),"High",IF(L368="Answering service","Medium","Low")))</f>
        <v/>
      </c>
      <c r="N368" s="20" t="n"/>
      <c r="O368" s="23" t="n"/>
      <c r="P368" s="20" t="n"/>
      <c r="Q368" s="23" t="n"/>
      <c r="R368" s="17">
        <f>IF(Q368="","",Q368-TODAY())</f>
        <v/>
      </c>
      <c r="S368" s="20" t="n"/>
      <c r="T368" s="18">
        <f>IF(OR(S368="",N368&lt;&gt;"Paying"),"",IFERROR(INDEX(Plans!$B$2:$B$20,MATCH(S368,Plans!$A$2:$A$20,0)),""))</f>
        <v/>
      </c>
      <c r="U368" s="24" t="n"/>
    </row>
    <row r="369">
      <c r="A369" s="20" t="n"/>
      <c r="B369" s="20" t="n"/>
      <c r="C369" s="20" t="n"/>
      <c r="D369" s="20" t="n"/>
      <c r="E369" s="20" t="n"/>
      <c r="F369" s="20" t="n"/>
      <c r="G369" s="20" t="n"/>
      <c r="H369" s="21" t="n"/>
      <c r="I369" s="20" t="n"/>
      <c r="J369" s="20" t="n"/>
      <c r="K369" s="22" t="n"/>
      <c r="L369" s="20" t="n"/>
      <c r="M369" s="15">
        <f>IF(L369="","",IF(OR(L369="Voicemail",L369="No answer"),"High",IF(L369="Answering service","Medium","Low")))</f>
        <v/>
      </c>
      <c r="N369" s="20" t="n"/>
      <c r="O369" s="23" t="n"/>
      <c r="P369" s="20" t="n"/>
      <c r="Q369" s="23" t="n"/>
      <c r="R369" s="17">
        <f>IF(Q369="","",Q369-TODAY())</f>
        <v/>
      </c>
      <c r="S369" s="20" t="n"/>
      <c r="T369" s="18">
        <f>IF(OR(S369="",N369&lt;&gt;"Paying"),"",IFERROR(INDEX(Plans!$B$2:$B$20,MATCH(S369,Plans!$A$2:$A$20,0)),""))</f>
        <v/>
      </c>
      <c r="U369" s="24" t="n"/>
    </row>
    <row r="370">
      <c r="A370" s="20" t="n"/>
      <c r="B370" s="20" t="n"/>
      <c r="C370" s="20" t="n"/>
      <c r="D370" s="20" t="n"/>
      <c r="E370" s="20" t="n"/>
      <c r="F370" s="20" t="n"/>
      <c r="G370" s="20" t="n"/>
      <c r="H370" s="21" t="n"/>
      <c r="I370" s="20" t="n"/>
      <c r="J370" s="20" t="n"/>
      <c r="K370" s="22" t="n"/>
      <c r="L370" s="20" t="n"/>
      <c r="M370" s="15">
        <f>IF(L370="","",IF(OR(L370="Voicemail",L370="No answer"),"High",IF(L370="Answering service","Medium","Low")))</f>
        <v/>
      </c>
      <c r="N370" s="20" t="n"/>
      <c r="O370" s="23" t="n"/>
      <c r="P370" s="20" t="n"/>
      <c r="Q370" s="23" t="n"/>
      <c r="R370" s="17">
        <f>IF(Q370="","",Q370-TODAY())</f>
        <v/>
      </c>
      <c r="S370" s="20" t="n"/>
      <c r="T370" s="18">
        <f>IF(OR(S370="",N370&lt;&gt;"Paying"),"",IFERROR(INDEX(Plans!$B$2:$B$20,MATCH(S370,Plans!$A$2:$A$20,0)),""))</f>
        <v/>
      </c>
      <c r="U370" s="24" t="n"/>
    </row>
    <row r="371">
      <c r="A371" s="20" t="n"/>
      <c r="B371" s="20" t="n"/>
      <c r="C371" s="20" t="n"/>
      <c r="D371" s="20" t="n"/>
      <c r="E371" s="20" t="n"/>
      <c r="F371" s="20" t="n"/>
      <c r="G371" s="20" t="n"/>
      <c r="H371" s="21" t="n"/>
      <c r="I371" s="20" t="n"/>
      <c r="J371" s="20" t="n"/>
      <c r="K371" s="22" t="n"/>
      <c r="L371" s="20" t="n"/>
      <c r="M371" s="15">
        <f>IF(L371="","",IF(OR(L371="Voicemail",L371="No answer"),"High",IF(L371="Answering service","Medium","Low")))</f>
        <v/>
      </c>
      <c r="N371" s="20" t="n"/>
      <c r="O371" s="23" t="n"/>
      <c r="P371" s="20" t="n"/>
      <c r="Q371" s="23" t="n"/>
      <c r="R371" s="17">
        <f>IF(Q371="","",Q371-TODAY())</f>
        <v/>
      </c>
      <c r="S371" s="20" t="n"/>
      <c r="T371" s="18">
        <f>IF(OR(S371="",N371&lt;&gt;"Paying"),"",IFERROR(INDEX(Plans!$B$2:$B$20,MATCH(S371,Plans!$A$2:$A$20,0)),""))</f>
        <v/>
      </c>
      <c r="U371" s="24" t="n"/>
    </row>
    <row r="372">
      <c r="A372" s="20" t="n"/>
      <c r="B372" s="20" t="n"/>
      <c r="C372" s="20" t="n"/>
      <c r="D372" s="20" t="n"/>
      <c r="E372" s="20" t="n"/>
      <c r="F372" s="20" t="n"/>
      <c r="G372" s="20" t="n"/>
      <c r="H372" s="21" t="n"/>
      <c r="I372" s="20" t="n"/>
      <c r="J372" s="20" t="n"/>
      <c r="K372" s="22" t="n"/>
      <c r="L372" s="20" t="n"/>
      <c r="M372" s="15">
        <f>IF(L372="","",IF(OR(L372="Voicemail",L372="No answer"),"High",IF(L372="Answering service","Medium","Low")))</f>
        <v/>
      </c>
      <c r="N372" s="20" t="n"/>
      <c r="O372" s="23" t="n"/>
      <c r="P372" s="20" t="n"/>
      <c r="Q372" s="23" t="n"/>
      <c r="R372" s="17">
        <f>IF(Q372="","",Q372-TODAY())</f>
        <v/>
      </c>
      <c r="S372" s="20" t="n"/>
      <c r="T372" s="18">
        <f>IF(OR(S372="",N372&lt;&gt;"Paying"),"",IFERROR(INDEX(Plans!$B$2:$B$20,MATCH(S372,Plans!$A$2:$A$20,0)),""))</f>
        <v/>
      </c>
      <c r="U372" s="24" t="n"/>
    </row>
    <row r="373">
      <c r="A373" s="20" t="n"/>
      <c r="B373" s="20" t="n"/>
      <c r="C373" s="20" t="n"/>
      <c r="D373" s="20" t="n"/>
      <c r="E373" s="20" t="n"/>
      <c r="F373" s="20" t="n"/>
      <c r="G373" s="20" t="n"/>
      <c r="H373" s="21" t="n"/>
      <c r="I373" s="20" t="n"/>
      <c r="J373" s="20" t="n"/>
      <c r="K373" s="22" t="n"/>
      <c r="L373" s="20" t="n"/>
      <c r="M373" s="15">
        <f>IF(L373="","",IF(OR(L373="Voicemail",L373="No answer"),"High",IF(L373="Answering service","Medium","Low")))</f>
        <v/>
      </c>
      <c r="N373" s="20" t="n"/>
      <c r="O373" s="23" t="n"/>
      <c r="P373" s="20" t="n"/>
      <c r="Q373" s="23" t="n"/>
      <c r="R373" s="17">
        <f>IF(Q373="","",Q373-TODAY())</f>
        <v/>
      </c>
      <c r="S373" s="20" t="n"/>
      <c r="T373" s="18">
        <f>IF(OR(S373="",N373&lt;&gt;"Paying"),"",IFERROR(INDEX(Plans!$B$2:$B$20,MATCH(S373,Plans!$A$2:$A$20,0)),""))</f>
        <v/>
      </c>
      <c r="U373" s="24" t="n"/>
    </row>
    <row r="374">
      <c r="A374" s="20" t="n"/>
      <c r="B374" s="20" t="n"/>
      <c r="C374" s="20" t="n"/>
      <c r="D374" s="20" t="n"/>
      <c r="E374" s="20" t="n"/>
      <c r="F374" s="20" t="n"/>
      <c r="G374" s="20" t="n"/>
      <c r="H374" s="21" t="n"/>
      <c r="I374" s="20" t="n"/>
      <c r="J374" s="20" t="n"/>
      <c r="K374" s="22" t="n"/>
      <c r="L374" s="20" t="n"/>
      <c r="M374" s="15">
        <f>IF(L374="","",IF(OR(L374="Voicemail",L374="No answer"),"High",IF(L374="Answering service","Medium","Low")))</f>
        <v/>
      </c>
      <c r="N374" s="20" t="n"/>
      <c r="O374" s="23" t="n"/>
      <c r="P374" s="20" t="n"/>
      <c r="Q374" s="23" t="n"/>
      <c r="R374" s="17">
        <f>IF(Q374="","",Q374-TODAY())</f>
        <v/>
      </c>
      <c r="S374" s="20" t="n"/>
      <c r="T374" s="18">
        <f>IF(OR(S374="",N374&lt;&gt;"Paying"),"",IFERROR(INDEX(Plans!$B$2:$B$20,MATCH(S374,Plans!$A$2:$A$20,0)),""))</f>
        <v/>
      </c>
      <c r="U374" s="24" t="n"/>
    </row>
    <row r="375">
      <c r="A375" s="20" t="n"/>
      <c r="B375" s="20" t="n"/>
      <c r="C375" s="20" t="n"/>
      <c r="D375" s="20" t="n"/>
      <c r="E375" s="20" t="n"/>
      <c r="F375" s="20" t="n"/>
      <c r="G375" s="20" t="n"/>
      <c r="H375" s="21" t="n"/>
      <c r="I375" s="20" t="n"/>
      <c r="J375" s="20" t="n"/>
      <c r="K375" s="22" t="n"/>
      <c r="L375" s="20" t="n"/>
      <c r="M375" s="15">
        <f>IF(L375="","",IF(OR(L375="Voicemail",L375="No answer"),"High",IF(L375="Answering service","Medium","Low")))</f>
        <v/>
      </c>
      <c r="N375" s="20" t="n"/>
      <c r="O375" s="23" t="n"/>
      <c r="P375" s="20" t="n"/>
      <c r="Q375" s="23" t="n"/>
      <c r="R375" s="17">
        <f>IF(Q375="","",Q375-TODAY())</f>
        <v/>
      </c>
      <c r="S375" s="20" t="n"/>
      <c r="T375" s="18">
        <f>IF(OR(S375="",N375&lt;&gt;"Paying"),"",IFERROR(INDEX(Plans!$B$2:$B$20,MATCH(S375,Plans!$A$2:$A$20,0)),""))</f>
        <v/>
      </c>
      <c r="U375" s="24" t="n"/>
    </row>
    <row r="376">
      <c r="A376" s="20" t="n"/>
      <c r="B376" s="20" t="n"/>
      <c r="C376" s="20" t="n"/>
      <c r="D376" s="20" t="n"/>
      <c r="E376" s="20" t="n"/>
      <c r="F376" s="20" t="n"/>
      <c r="G376" s="20" t="n"/>
      <c r="H376" s="21" t="n"/>
      <c r="I376" s="20" t="n"/>
      <c r="J376" s="20" t="n"/>
      <c r="K376" s="22" t="n"/>
      <c r="L376" s="20" t="n"/>
      <c r="M376" s="15">
        <f>IF(L376="","",IF(OR(L376="Voicemail",L376="No answer"),"High",IF(L376="Answering service","Medium","Low")))</f>
        <v/>
      </c>
      <c r="N376" s="20" t="n"/>
      <c r="O376" s="23" t="n"/>
      <c r="P376" s="20" t="n"/>
      <c r="Q376" s="23" t="n"/>
      <c r="R376" s="17">
        <f>IF(Q376="","",Q376-TODAY())</f>
        <v/>
      </c>
      <c r="S376" s="20" t="n"/>
      <c r="T376" s="18">
        <f>IF(OR(S376="",N376&lt;&gt;"Paying"),"",IFERROR(INDEX(Plans!$B$2:$B$20,MATCH(S376,Plans!$A$2:$A$20,0)),""))</f>
        <v/>
      </c>
      <c r="U376" s="24" t="n"/>
    </row>
    <row r="377">
      <c r="A377" s="20" t="n"/>
      <c r="B377" s="20" t="n"/>
      <c r="C377" s="20" t="n"/>
      <c r="D377" s="20" t="n"/>
      <c r="E377" s="20" t="n"/>
      <c r="F377" s="20" t="n"/>
      <c r="G377" s="20" t="n"/>
      <c r="H377" s="21" t="n"/>
      <c r="I377" s="20" t="n"/>
      <c r="J377" s="20" t="n"/>
      <c r="K377" s="22" t="n"/>
      <c r="L377" s="20" t="n"/>
      <c r="M377" s="15">
        <f>IF(L377="","",IF(OR(L377="Voicemail",L377="No answer"),"High",IF(L377="Answering service","Medium","Low")))</f>
        <v/>
      </c>
      <c r="N377" s="20" t="n"/>
      <c r="O377" s="23" t="n"/>
      <c r="P377" s="20" t="n"/>
      <c r="Q377" s="23" t="n"/>
      <c r="R377" s="17">
        <f>IF(Q377="","",Q377-TODAY())</f>
        <v/>
      </c>
      <c r="S377" s="20" t="n"/>
      <c r="T377" s="18">
        <f>IF(OR(S377="",N377&lt;&gt;"Paying"),"",IFERROR(INDEX(Plans!$B$2:$B$20,MATCH(S377,Plans!$A$2:$A$20,0)),""))</f>
        <v/>
      </c>
      <c r="U377" s="24" t="n"/>
    </row>
    <row r="378">
      <c r="A378" s="20" t="n"/>
      <c r="B378" s="20" t="n"/>
      <c r="C378" s="20" t="n"/>
      <c r="D378" s="20" t="n"/>
      <c r="E378" s="20" t="n"/>
      <c r="F378" s="20" t="n"/>
      <c r="G378" s="20" t="n"/>
      <c r="H378" s="21" t="n"/>
      <c r="I378" s="20" t="n"/>
      <c r="J378" s="20" t="n"/>
      <c r="K378" s="22" t="n"/>
      <c r="L378" s="20" t="n"/>
      <c r="M378" s="15">
        <f>IF(L378="","",IF(OR(L378="Voicemail",L378="No answer"),"High",IF(L378="Answering service","Medium","Low")))</f>
        <v/>
      </c>
      <c r="N378" s="20" t="n"/>
      <c r="O378" s="23" t="n"/>
      <c r="P378" s="20" t="n"/>
      <c r="Q378" s="23" t="n"/>
      <c r="R378" s="17">
        <f>IF(Q378="","",Q378-TODAY())</f>
        <v/>
      </c>
      <c r="S378" s="20" t="n"/>
      <c r="T378" s="18">
        <f>IF(OR(S378="",N378&lt;&gt;"Paying"),"",IFERROR(INDEX(Plans!$B$2:$B$20,MATCH(S378,Plans!$A$2:$A$20,0)),""))</f>
        <v/>
      </c>
      <c r="U378" s="24" t="n"/>
    </row>
    <row r="379">
      <c r="A379" s="20" t="n"/>
      <c r="B379" s="20" t="n"/>
      <c r="C379" s="20" t="n"/>
      <c r="D379" s="20" t="n"/>
      <c r="E379" s="20" t="n"/>
      <c r="F379" s="20" t="n"/>
      <c r="G379" s="20" t="n"/>
      <c r="H379" s="21" t="n"/>
      <c r="I379" s="20" t="n"/>
      <c r="J379" s="20" t="n"/>
      <c r="K379" s="22" t="n"/>
      <c r="L379" s="20" t="n"/>
      <c r="M379" s="15">
        <f>IF(L379="","",IF(OR(L379="Voicemail",L379="No answer"),"High",IF(L379="Answering service","Medium","Low")))</f>
        <v/>
      </c>
      <c r="N379" s="20" t="n"/>
      <c r="O379" s="23" t="n"/>
      <c r="P379" s="20" t="n"/>
      <c r="Q379" s="23" t="n"/>
      <c r="R379" s="17">
        <f>IF(Q379="","",Q379-TODAY())</f>
        <v/>
      </c>
      <c r="S379" s="20" t="n"/>
      <c r="T379" s="18">
        <f>IF(OR(S379="",N379&lt;&gt;"Paying"),"",IFERROR(INDEX(Plans!$B$2:$B$20,MATCH(S379,Plans!$A$2:$A$20,0)),""))</f>
        <v/>
      </c>
      <c r="U379" s="24" t="n"/>
    </row>
    <row r="380">
      <c r="A380" s="20" t="n"/>
      <c r="B380" s="20" t="n"/>
      <c r="C380" s="20" t="n"/>
      <c r="D380" s="20" t="n"/>
      <c r="E380" s="20" t="n"/>
      <c r="F380" s="20" t="n"/>
      <c r="G380" s="20" t="n"/>
      <c r="H380" s="21" t="n"/>
      <c r="I380" s="20" t="n"/>
      <c r="J380" s="20" t="n"/>
      <c r="K380" s="22" t="n"/>
      <c r="L380" s="20" t="n"/>
      <c r="M380" s="15">
        <f>IF(L380="","",IF(OR(L380="Voicemail",L380="No answer"),"High",IF(L380="Answering service","Medium","Low")))</f>
        <v/>
      </c>
      <c r="N380" s="20" t="n"/>
      <c r="O380" s="23" t="n"/>
      <c r="P380" s="20" t="n"/>
      <c r="Q380" s="23" t="n"/>
      <c r="R380" s="17">
        <f>IF(Q380="","",Q380-TODAY())</f>
        <v/>
      </c>
      <c r="S380" s="20" t="n"/>
      <c r="T380" s="18">
        <f>IF(OR(S380="",N380&lt;&gt;"Paying"),"",IFERROR(INDEX(Plans!$B$2:$B$20,MATCH(S380,Plans!$A$2:$A$20,0)),""))</f>
        <v/>
      </c>
      <c r="U380" s="24" t="n"/>
    </row>
    <row r="381">
      <c r="A381" s="20" t="n"/>
      <c r="B381" s="20" t="n"/>
      <c r="C381" s="20" t="n"/>
      <c r="D381" s="20" t="n"/>
      <c r="E381" s="20" t="n"/>
      <c r="F381" s="20" t="n"/>
      <c r="G381" s="20" t="n"/>
      <c r="H381" s="21" t="n"/>
      <c r="I381" s="20" t="n"/>
      <c r="J381" s="20" t="n"/>
      <c r="K381" s="22" t="n"/>
      <c r="L381" s="20" t="n"/>
      <c r="M381" s="15">
        <f>IF(L381="","",IF(OR(L381="Voicemail",L381="No answer"),"High",IF(L381="Answering service","Medium","Low")))</f>
        <v/>
      </c>
      <c r="N381" s="20" t="n"/>
      <c r="O381" s="23" t="n"/>
      <c r="P381" s="20" t="n"/>
      <c r="Q381" s="23" t="n"/>
      <c r="R381" s="17">
        <f>IF(Q381="","",Q381-TODAY())</f>
        <v/>
      </c>
      <c r="S381" s="20" t="n"/>
      <c r="T381" s="18">
        <f>IF(OR(S381="",N381&lt;&gt;"Paying"),"",IFERROR(INDEX(Plans!$B$2:$B$20,MATCH(S381,Plans!$A$2:$A$20,0)),""))</f>
        <v/>
      </c>
      <c r="U381" s="24" t="n"/>
    </row>
    <row r="382">
      <c r="A382" s="20" t="n"/>
      <c r="B382" s="20" t="n"/>
      <c r="C382" s="20" t="n"/>
      <c r="D382" s="20" t="n"/>
      <c r="E382" s="20" t="n"/>
      <c r="F382" s="20" t="n"/>
      <c r="G382" s="20" t="n"/>
      <c r="H382" s="21" t="n"/>
      <c r="I382" s="20" t="n"/>
      <c r="J382" s="20" t="n"/>
      <c r="K382" s="22" t="n"/>
      <c r="L382" s="20" t="n"/>
      <c r="M382" s="15">
        <f>IF(L382="","",IF(OR(L382="Voicemail",L382="No answer"),"High",IF(L382="Answering service","Medium","Low")))</f>
        <v/>
      </c>
      <c r="N382" s="20" t="n"/>
      <c r="O382" s="23" t="n"/>
      <c r="P382" s="20" t="n"/>
      <c r="Q382" s="23" t="n"/>
      <c r="R382" s="17">
        <f>IF(Q382="","",Q382-TODAY())</f>
        <v/>
      </c>
      <c r="S382" s="20" t="n"/>
      <c r="T382" s="18">
        <f>IF(OR(S382="",N382&lt;&gt;"Paying"),"",IFERROR(INDEX(Plans!$B$2:$B$20,MATCH(S382,Plans!$A$2:$A$20,0)),""))</f>
        <v/>
      </c>
      <c r="U382" s="24" t="n"/>
    </row>
    <row r="383">
      <c r="A383" s="20" t="n"/>
      <c r="B383" s="20" t="n"/>
      <c r="C383" s="20" t="n"/>
      <c r="D383" s="20" t="n"/>
      <c r="E383" s="20" t="n"/>
      <c r="F383" s="20" t="n"/>
      <c r="G383" s="20" t="n"/>
      <c r="H383" s="21" t="n"/>
      <c r="I383" s="20" t="n"/>
      <c r="J383" s="20" t="n"/>
      <c r="K383" s="22" t="n"/>
      <c r="L383" s="20" t="n"/>
      <c r="M383" s="15">
        <f>IF(L383="","",IF(OR(L383="Voicemail",L383="No answer"),"High",IF(L383="Answering service","Medium","Low")))</f>
        <v/>
      </c>
      <c r="N383" s="20" t="n"/>
      <c r="O383" s="23" t="n"/>
      <c r="P383" s="20" t="n"/>
      <c r="Q383" s="23" t="n"/>
      <c r="R383" s="17">
        <f>IF(Q383="","",Q383-TODAY())</f>
        <v/>
      </c>
      <c r="S383" s="20" t="n"/>
      <c r="T383" s="18">
        <f>IF(OR(S383="",N383&lt;&gt;"Paying"),"",IFERROR(INDEX(Plans!$B$2:$B$20,MATCH(S383,Plans!$A$2:$A$20,0)),""))</f>
        <v/>
      </c>
      <c r="U383" s="24" t="n"/>
    </row>
    <row r="384">
      <c r="A384" s="20" t="n"/>
      <c r="B384" s="20" t="n"/>
      <c r="C384" s="20" t="n"/>
      <c r="D384" s="20" t="n"/>
      <c r="E384" s="20" t="n"/>
      <c r="F384" s="20" t="n"/>
      <c r="G384" s="20" t="n"/>
      <c r="H384" s="21" t="n"/>
      <c r="I384" s="20" t="n"/>
      <c r="J384" s="20" t="n"/>
      <c r="K384" s="22" t="n"/>
      <c r="L384" s="20" t="n"/>
      <c r="M384" s="15">
        <f>IF(L384="","",IF(OR(L384="Voicemail",L384="No answer"),"High",IF(L384="Answering service","Medium","Low")))</f>
        <v/>
      </c>
      <c r="N384" s="20" t="n"/>
      <c r="O384" s="23" t="n"/>
      <c r="P384" s="20" t="n"/>
      <c r="Q384" s="23" t="n"/>
      <c r="R384" s="17">
        <f>IF(Q384="","",Q384-TODAY())</f>
        <v/>
      </c>
      <c r="S384" s="20" t="n"/>
      <c r="T384" s="18">
        <f>IF(OR(S384="",N384&lt;&gt;"Paying"),"",IFERROR(INDEX(Plans!$B$2:$B$20,MATCH(S384,Plans!$A$2:$A$20,0)),""))</f>
        <v/>
      </c>
      <c r="U384" s="24" t="n"/>
    </row>
    <row r="385">
      <c r="A385" s="20" t="n"/>
      <c r="B385" s="20" t="n"/>
      <c r="C385" s="20" t="n"/>
      <c r="D385" s="20" t="n"/>
      <c r="E385" s="20" t="n"/>
      <c r="F385" s="20" t="n"/>
      <c r="G385" s="20" t="n"/>
      <c r="H385" s="21" t="n"/>
      <c r="I385" s="20" t="n"/>
      <c r="J385" s="20" t="n"/>
      <c r="K385" s="22" t="n"/>
      <c r="L385" s="20" t="n"/>
      <c r="M385" s="15">
        <f>IF(L385="","",IF(OR(L385="Voicemail",L385="No answer"),"High",IF(L385="Answering service","Medium","Low")))</f>
        <v/>
      </c>
      <c r="N385" s="20" t="n"/>
      <c r="O385" s="23" t="n"/>
      <c r="P385" s="20" t="n"/>
      <c r="Q385" s="23" t="n"/>
      <c r="R385" s="17">
        <f>IF(Q385="","",Q385-TODAY())</f>
        <v/>
      </c>
      <c r="S385" s="20" t="n"/>
      <c r="T385" s="18">
        <f>IF(OR(S385="",N385&lt;&gt;"Paying"),"",IFERROR(INDEX(Plans!$B$2:$B$20,MATCH(S385,Plans!$A$2:$A$20,0)),""))</f>
        <v/>
      </c>
      <c r="U385" s="24" t="n"/>
    </row>
    <row r="386">
      <c r="A386" s="20" t="n"/>
      <c r="B386" s="20" t="n"/>
      <c r="C386" s="20" t="n"/>
      <c r="D386" s="20" t="n"/>
      <c r="E386" s="20" t="n"/>
      <c r="F386" s="20" t="n"/>
      <c r="G386" s="20" t="n"/>
      <c r="H386" s="21" t="n"/>
      <c r="I386" s="20" t="n"/>
      <c r="J386" s="20" t="n"/>
      <c r="K386" s="22" t="n"/>
      <c r="L386" s="20" t="n"/>
      <c r="M386" s="15">
        <f>IF(L386="","",IF(OR(L386="Voicemail",L386="No answer"),"High",IF(L386="Answering service","Medium","Low")))</f>
        <v/>
      </c>
      <c r="N386" s="20" t="n"/>
      <c r="O386" s="23" t="n"/>
      <c r="P386" s="20" t="n"/>
      <c r="Q386" s="23" t="n"/>
      <c r="R386" s="17">
        <f>IF(Q386="","",Q386-TODAY())</f>
        <v/>
      </c>
      <c r="S386" s="20" t="n"/>
      <c r="T386" s="18">
        <f>IF(OR(S386="",N386&lt;&gt;"Paying"),"",IFERROR(INDEX(Plans!$B$2:$B$20,MATCH(S386,Plans!$A$2:$A$20,0)),""))</f>
        <v/>
      </c>
      <c r="U386" s="24" t="n"/>
    </row>
    <row r="387">
      <c r="A387" s="20" t="n"/>
      <c r="B387" s="20" t="n"/>
      <c r="C387" s="20" t="n"/>
      <c r="D387" s="20" t="n"/>
      <c r="E387" s="20" t="n"/>
      <c r="F387" s="20" t="n"/>
      <c r="G387" s="20" t="n"/>
      <c r="H387" s="21" t="n"/>
      <c r="I387" s="20" t="n"/>
      <c r="J387" s="20" t="n"/>
      <c r="K387" s="22" t="n"/>
      <c r="L387" s="20" t="n"/>
      <c r="M387" s="15">
        <f>IF(L387="","",IF(OR(L387="Voicemail",L387="No answer"),"High",IF(L387="Answering service","Medium","Low")))</f>
        <v/>
      </c>
      <c r="N387" s="20" t="n"/>
      <c r="O387" s="23" t="n"/>
      <c r="P387" s="20" t="n"/>
      <c r="Q387" s="23" t="n"/>
      <c r="R387" s="17">
        <f>IF(Q387="","",Q387-TODAY())</f>
        <v/>
      </c>
      <c r="S387" s="20" t="n"/>
      <c r="T387" s="18">
        <f>IF(OR(S387="",N387&lt;&gt;"Paying"),"",IFERROR(INDEX(Plans!$B$2:$B$20,MATCH(S387,Plans!$A$2:$A$20,0)),""))</f>
        <v/>
      </c>
      <c r="U387" s="24" t="n"/>
    </row>
    <row r="388">
      <c r="A388" s="20" t="n"/>
      <c r="B388" s="20" t="n"/>
      <c r="C388" s="20" t="n"/>
      <c r="D388" s="20" t="n"/>
      <c r="E388" s="20" t="n"/>
      <c r="F388" s="20" t="n"/>
      <c r="G388" s="20" t="n"/>
      <c r="H388" s="21" t="n"/>
      <c r="I388" s="20" t="n"/>
      <c r="J388" s="20" t="n"/>
      <c r="K388" s="22" t="n"/>
      <c r="L388" s="20" t="n"/>
      <c r="M388" s="15">
        <f>IF(L388="","",IF(OR(L388="Voicemail",L388="No answer"),"High",IF(L388="Answering service","Medium","Low")))</f>
        <v/>
      </c>
      <c r="N388" s="20" t="n"/>
      <c r="O388" s="23" t="n"/>
      <c r="P388" s="20" t="n"/>
      <c r="Q388" s="23" t="n"/>
      <c r="R388" s="17">
        <f>IF(Q388="","",Q388-TODAY())</f>
        <v/>
      </c>
      <c r="S388" s="20" t="n"/>
      <c r="T388" s="18">
        <f>IF(OR(S388="",N388&lt;&gt;"Paying"),"",IFERROR(INDEX(Plans!$B$2:$B$20,MATCH(S388,Plans!$A$2:$A$20,0)),""))</f>
        <v/>
      </c>
      <c r="U388" s="24" t="n"/>
    </row>
    <row r="389">
      <c r="A389" s="20" t="n"/>
      <c r="B389" s="20" t="n"/>
      <c r="C389" s="20" t="n"/>
      <c r="D389" s="20" t="n"/>
      <c r="E389" s="20" t="n"/>
      <c r="F389" s="20" t="n"/>
      <c r="G389" s="20" t="n"/>
      <c r="H389" s="21" t="n"/>
      <c r="I389" s="20" t="n"/>
      <c r="J389" s="20" t="n"/>
      <c r="K389" s="22" t="n"/>
      <c r="L389" s="20" t="n"/>
      <c r="M389" s="15">
        <f>IF(L389="","",IF(OR(L389="Voicemail",L389="No answer"),"High",IF(L389="Answering service","Medium","Low")))</f>
        <v/>
      </c>
      <c r="N389" s="20" t="n"/>
      <c r="O389" s="23" t="n"/>
      <c r="P389" s="20" t="n"/>
      <c r="Q389" s="23" t="n"/>
      <c r="R389" s="17">
        <f>IF(Q389="","",Q389-TODAY())</f>
        <v/>
      </c>
      <c r="S389" s="20" t="n"/>
      <c r="T389" s="18">
        <f>IF(OR(S389="",N389&lt;&gt;"Paying"),"",IFERROR(INDEX(Plans!$B$2:$B$20,MATCH(S389,Plans!$A$2:$A$20,0)),""))</f>
        <v/>
      </c>
      <c r="U389" s="24" t="n"/>
    </row>
    <row r="390">
      <c r="A390" s="20" t="n"/>
      <c r="B390" s="20" t="n"/>
      <c r="C390" s="20" t="n"/>
      <c r="D390" s="20" t="n"/>
      <c r="E390" s="20" t="n"/>
      <c r="F390" s="20" t="n"/>
      <c r="G390" s="20" t="n"/>
      <c r="H390" s="21" t="n"/>
      <c r="I390" s="20" t="n"/>
      <c r="J390" s="20" t="n"/>
      <c r="K390" s="22" t="n"/>
      <c r="L390" s="20" t="n"/>
      <c r="M390" s="15">
        <f>IF(L390="","",IF(OR(L390="Voicemail",L390="No answer"),"High",IF(L390="Answering service","Medium","Low")))</f>
        <v/>
      </c>
      <c r="N390" s="20" t="n"/>
      <c r="O390" s="23" t="n"/>
      <c r="P390" s="20" t="n"/>
      <c r="Q390" s="23" t="n"/>
      <c r="R390" s="17">
        <f>IF(Q390="","",Q390-TODAY())</f>
        <v/>
      </c>
      <c r="S390" s="20" t="n"/>
      <c r="T390" s="18">
        <f>IF(OR(S390="",N390&lt;&gt;"Paying"),"",IFERROR(INDEX(Plans!$B$2:$B$20,MATCH(S390,Plans!$A$2:$A$20,0)),""))</f>
        <v/>
      </c>
      <c r="U390" s="24" t="n"/>
    </row>
    <row r="391">
      <c r="A391" s="20" t="n"/>
      <c r="B391" s="20" t="n"/>
      <c r="C391" s="20" t="n"/>
      <c r="D391" s="20" t="n"/>
      <c r="E391" s="20" t="n"/>
      <c r="F391" s="20" t="n"/>
      <c r="G391" s="20" t="n"/>
      <c r="H391" s="21" t="n"/>
      <c r="I391" s="20" t="n"/>
      <c r="J391" s="20" t="n"/>
      <c r="K391" s="22" t="n"/>
      <c r="L391" s="20" t="n"/>
      <c r="M391" s="15">
        <f>IF(L391="","",IF(OR(L391="Voicemail",L391="No answer"),"High",IF(L391="Answering service","Medium","Low")))</f>
        <v/>
      </c>
      <c r="N391" s="20" t="n"/>
      <c r="O391" s="23" t="n"/>
      <c r="P391" s="20" t="n"/>
      <c r="Q391" s="23" t="n"/>
      <c r="R391" s="17">
        <f>IF(Q391="","",Q391-TODAY())</f>
        <v/>
      </c>
      <c r="S391" s="20" t="n"/>
      <c r="T391" s="18">
        <f>IF(OR(S391="",N391&lt;&gt;"Paying"),"",IFERROR(INDEX(Plans!$B$2:$B$20,MATCH(S391,Plans!$A$2:$A$20,0)),""))</f>
        <v/>
      </c>
      <c r="U391" s="24" t="n"/>
    </row>
    <row r="392">
      <c r="A392" s="20" t="n"/>
      <c r="B392" s="20" t="n"/>
      <c r="C392" s="20" t="n"/>
      <c r="D392" s="20" t="n"/>
      <c r="E392" s="20" t="n"/>
      <c r="F392" s="20" t="n"/>
      <c r="G392" s="20" t="n"/>
      <c r="H392" s="21" t="n"/>
      <c r="I392" s="20" t="n"/>
      <c r="J392" s="20" t="n"/>
      <c r="K392" s="22" t="n"/>
      <c r="L392" s="20" t="n"/>
      <c r="M392" s="15">
        <f>IF(L392="","",IF(OR(L392="Voicemail",L392="No answer"),"High",IF(L392="Answering service","Medium","Low")))</f>
        <v/>
      </c>
      <c r="N392" s="20" t="n"/>
      <c r="O392" s="23" t="n"/>
      <c r="P392" s="20" t="n"/>
      <c r="Q392" s="23" t="n"/>
      <c r="R392" s="17">
        <f>IF(Q392="","",Q392-TODAY())</f>
        <v/>
      </c>
      <c r="S392" s="20" t="n"/>
      <c r="T392" s="18">
        <f>IF(OR(S392="",N392&lt;&gt;"Paying"),"",IFERROR(INDEX(Plans!$B$2:$B$20,MATCH(S392,Plans!$A$2:$A$20,0)),""))</f>
        <v/>
      </c>
      <c r="U392" s="24" t="n"/>
    </row>
    <row r="393">
      <c r="A393" s="20" t="n"/>
      <c r="B393" s="20" t="n"/>
      <c r="C393" s="20" t="n"/>
      <c r="D393" s="20" t="n"/>
      <c r="E393" s="20" t="n"/>
      <c r="F393" s="20" t="n"/>
      <c r="G393" s="20" t="n"/>
      <c r="H393" s="21" t="n"/>
      <c r="I393" s="20" t="n"/>
      <c r="J393" s="20" t="n"/>
      <c r="K393" s="22" t="n"/>
      <c r="L393" s="20" t="n"/>
      <c r="M393" s="15">
        <f>IF(L393="","",IF(OR(L393="Voicemail",L393="No answer"),"High",IF(L393="Answering service","Medium","Low")))</f>
        <v/>
      </c>
      <c r="N393" s="20" t="n"/>
      <c r="O393" s="23" t="n"/>
      <c r="P393" s="20" t="n"/>
      <c r="Q393" s="23" t="n"/>
      <c r="R393" s="17">
        <f>IF(Q393="","",Q393-TODAY())</f>
        <v/>
      </c>
      <c r="S393" s="20" t="n"/>
      <c r="T393" s="18">
        <f>IF(OR(S393="",N393&lt;&gt;"Paying"),"",IFERROR(INDEX(Plans!$B$2:$B$20,MATCH(S393,Plans!$A$2:$A$20,0)),""))</f>
        <v/>
      </c>
      <c r="U393" s="24" t="n"/>
    </row>
    <row r="394">
      <c r="A394" s="20" t="n"/>
      <c r="B394" s="20" t="n"/>
      <c r="C394" s="20" t="n"/>
      <c r="D394" s="20" t="n"/>
      <c r="E394" s="20" t="n"/>
      <c r="F394" s="20" t="n"/>
      <c r="G394" s="20" t="n"/>
      <c r="H394" s="21" t="n"/>
      <c r="I394" s="20" t="n"/>
      <c r="J394" s="20" t="n"/>
      <c r="K394" s="22" t="n"/>
      <c r="L394" s="20" t="n"/>
      <c r="M394" s="15">
        <f>IF(L394="","",IF(OR(L394="Voicemail",L394="No answer"),"High",IF(L394="Answering service","Medium","Low")))</f>
        <v/>
      </c>
      <c r="N394" s="20" t="n"/>
      <c r="O394" s="23" t="n"/>
      <c r="P394" s="20" t="n"/>
      <c r="Q394" s="23" t="n"/>
      <c r="R394" s="17">
        <f>IF(Q394="","",Q394-TODAY())</f>
        <v/>
      </c>
      <c r="S394" s="20" t="n"/>
      <c r="T394" s="18">
        <f>IF(OR(S394="",N394&lt;&gt;"Paying"),"",IFERROR(INDEX(Plans!$B$2:$B$20,MATCH(S394,Plans!$A$2:$A$20,0)),""))</f>
        <v/>
      </c>
      <c r="U394" s="24" t="n"/>
    </row>
    <row r="395">
      <c r="A395" s="20" t="n"/>
      <c r="B395" s="20" t="n"/>
      <c r="C395" s="20" t="n"/>
      <c r="D395" s="20" t="n"/>
      <c r="E395" s="20" t="n"/>
      <c r="F395" s="20" t="n"/>
      <c r="G395" s="20" t="n"/>
      <c r="H395" s="21" t="n"/>
      <c r="I395" s="20" t="n"/>
      <c r="J395" s="20" t="n"/>
      <c r="K395" s="22" t="n"/>
      <c r="L395" s="20" t="n"/>
      <c r="M395" s="15">
        <f>IF(L395="","",IF(OR(L395="Voicemail",L395="No answer"),"High",IF(L395="Answering service","Medium","Low")))</f>
        <v/>
      </c>
      <c r="N395" s="20" t="n"/>
      <c r="O395" s="23" t="n"/>
      <c r="P395" s="20" t="n"/>
      <c r="Q395" s="23" t="n"/>
      <c r="R395" s="17">
        <f>IF(Q395="","",Q395-TODAY())</f>
        <v/>
      </c>
      <c r="S395" s="20" t="n"/>
      <c r="T395" s="18">
        <f>IF(OR(S395="",N395&lt;&gt;"Paying"),"",IFERROR(INDEX(Plans!$B$2:$B$20,MATCH(S395,Plans!$A$2:$A$20,0)),""))</f>
        <v/>
      </c>
      <c r="U395" s="24" t="n"/>
    </row>
    <row r="396">
      <c r="A396" s="20" t="n"/>
      <c r="B396" s="20" t="n"/>
      <c r="C396" s="20" t="n"/>
      <c r="D396" s="20" t="n"/>
      <c r="E396" s="20" t="n"/>
      <c r="F396" s="20" t="n"/>
      <c r="G396" s="20" t="n"/>
      <c r="H396" s="21" t="n"/>
      <c r="I396" s="20" t="n"/>
      <c r="J396" s="20" t="n"/>
      <c r="K396" s="22" t="n"/>
      <c r="L396" s="20" t="n"/>
      <c r="M396" s="15">
        <f>IF(L396="","",IF(OR(L396="Voicemail",L396="No answer"),"High",IF(L396="Answering service","Medium","Low")))</f>
        <v/>
      </c>
      <c r="N396" s="20" t="n"/>
      <c r="O396" s="23" t="n"/>
      <c r="P396" s="20" t="n"/>
      <c r="Q396" s="23" t="n"/>
      <c r="R396" s="17">
        <f>IF(Q396="","",Q396-TODAY())</f>
        <v/>
      </c>
      <c r="S396" s="20" t="n"/>
      <c r="T396" s="18">
        <f>IF(OR(S396="",N396&lt;&gt;"Paying"),"",IFERROR(INDEX(Plans!$B$2:$B$20,MATCH(S396,Plans!$A$2:$A$20,0)),""))</f>
        <v/>
      </c>
      <c r="U396" s="24" t="n"/>
    </row>
    <row r="397">
      <c r="A397" s="20" t="n"/>
      <c r="B397" s="20" t="n"/>
      <c r="C397" s="20" t="n"/>
      <c r="D397" s="20" t="n"/>
      <c r="E397" s="20" t="n"/>
      <c r="F397" s="20" t="n"/>
      <c r="G397" s="20" t="n"/>
      <c r="H397" s="21" t="n"/>
      <c r="I397" s="20" t="n"/>
      <c r="J397" s="20" t="n"/>
      <c r="K397" s="22" t="n"/>
      <c r="L397" s="20" t="n"/>
      <c r="M397" s="15">
        <f>IF(L397="","",IF(OR(L397="Voicemail",L397="No answer"),"High",IF(L397="Answering service","Medium","Low")))</f>
        <v/>
      </c>
      <c r="N397" s="20" t="n"/>
      <c r="O397" s="23" t="n"/>
      <c r="P397" s="20" t="n"/>
      <c r="Q397" s="23" t="n"/>
      <c r="R397" s="17">
        <f>IF(Q397="","",Q397-TODAY())</f>
        <v/>
      </c>
      <c r="S397" s="20" t="n"/>
      <c r="T397" s="18">
        <f>IF(OR(S397="",N397&lt;&gt;"Paying"),"",IFERROR(INDEX(Plans!$B$2:$B$20,MATCH(S397,Plans!$A$2:$A$20,0)),""))</f>
        <v/>
      </c>
      <c r="U397" s="24" t="n"/>
    </row>
    <row r="398">
      <c r="A398" s="20" t="n"/>
      <c r="B398" s="20" t="n"/>
      <c r="C398" s="20" t="n"/>
      <c r="D398" s="20" t="n"/>
      <c r="E398" s="20" t="n"/>
      <c r="F398" s="20" t="n"/>
      <c r="G398" s="20" t="n"/>
      <c r="H398" s="21" t="n"/>
      <c r="I398" s="20" t="n"/>
      <c r="J398" s="20" t="n"/>
      <c r="K398" s="22" t="n"/>
      <c r="L398" s="20" t="n"/>
      <c r="M398" s="15">
        <f>IF(L398="","",IF(OR(L398="Voicemail",L398="No answer"),"High",IF(L398="Answering service","Medium","Low")))</f>
        <v/>
      </c>
      <c r="N398" s="20" t="n"/>
      <c r="O398" s="23" t="n"/>
      <c r="P398" s="20" t="n"/>
      <c r="Q398" s="23" t="n"/>
      <c r="R398" s="17">
        <f>IF(Q398="","",Q398-TODAY())</f>
        <v/>
      </c>
      <c r="S398" s="20" t="n"/>
      <c r="T398" s="18">
        <f>IF(OR(S398="",N398&lt;&gt;"Paying"),"",IFERROR(INDEX(Plans!$B$2:$B$20,MATCH(S398,Plans!$A$2:$A$20,0)),""))</f>
        <v/>
      </c>
      <c r="U398" s="24" t="n"/>
    </row>
    <row r="399">
      <c r="A399" s="20" t="n"/>
      <c r="B399" s="20" t="n"/>
      <c r="C399" s="20" t="n"/>
      <c r="D399" s="20" t="n"/>
      <c r="E399" s="20" t="n"/>
      <c r="F399" s="20" t="n"/>
      <c r="G399" s="20" t="n"/>
      <c r="H399" s="21" t="n"/>
      <c r="I399" s="20" t="n"/>
      <c r="J399" s="20" t="n"/>
      <c r="K399" s="22" t="n"/>
      <c r="L399" s="20" t="n"/>
      <c r="M399" s="15">
        <f>IF(L399="","",IF(OR(L399="Voicemail",L399="No answer"),"High",IF(L399="Answering service","Medium","Low")))</f>
        <v/>
      </c>
      <c r="N399" s="20" t="n"/>
      <c r="O399" s="23" t="n"/>
      <c r="P399" s="20" t="n"/>
      <c r="Q399" s="23" t="n"/>
      <c r="R399" s="17">
        <f>IF(Q399="","",Q399-TODAY())</f>
        <v/>
      </c>
      <c r="S399" s="20" t="n"/>
      <c r="T399" s="18">
        <f>IF(OR(S399="",N399&lt;&gt;"Paying"),"",IFERROR(INDEX(Plans!$B$2:$B$20,MATCH(S399,Plans!$A$2:$A$20,0)),""))</f>
        <v/>
      </c>
      <c r="U399" s="24" t="n"/>
    </row>
    <row r="400">
      <c r="A400" s="20" t="n"/>
      <c r="B400" s="20" t="n"/>
      <c r="C400" s="20" t="n"/>
      <c r="D400" s="20" t="n"/>
      <c r="E400" s="20" t="n"/>
      <c r="F400" s="20" t="n"/>
      <c r="G400" s="20" t="n"/>
      <c r="H400" s="21" t="n"/>
      <c r="I400" s="20" t="n"/>
      <c r="J400" s="20" t="n"/>
      <c r="K400" s="22" t="n"/>
      <c r="L400" s="20" t="n"/>
      <c r="M400" s="15">
        <f>IF(L400="","",IF(OR(L400="Voicemail",L400="No answer"),"High",IF(L400="Answering service","Medium","Low")))</f>
        <v/>
      </c>
      <c r="N400" s="20" t="n"/>
      <c r="O400" s="23" t="n"/>
      <c r="P400" s="20" t="n"/>
      <c r="Q400" s="23" t="n"/>
      <c r="R400" s="17">
        <f>IF(Q400="","",Q400-TODAY())</f>
        <v/>
      </c>
      <c r="S400" s="20" t="n"/>
      <c r="T400" s="18">
        <f>IF(OR(S400="",N400&lt;&gt;"Paying"),"",IFERROR(INDEX(Plans!$B$2:$B$20,MATCH(S400,Plans!$A$2:$A$20,0)),""))</f>
        <v/>
      </c>
      <c r="U400" s="24" t="n"/>
    </row>
    <row r="401">
      <c r="A401" s="20" t="n"/>
      <c r="B401" s="20" t="n"/>
      <c r="C401" s="20" t="n"/>
      <c r="D401" s="20" t="n"/>
      <c r="E401" s="20" t="n"/>
      <c r="F401" s="20" t="n"/>
      <c r="G401" s="20" t="n"/>
      <c r="H401" s="21" t="n"/>
      <c r="I401" s="20" t="n"/>
      <c r="J401" s="20" t="n"/>
      <c r="K401" s="22" t="n"/>
      <c r="L401" s="20" t="n"/>
      <c r="M401" s="15">
        <f>IF(L401="","",IF(OR(L401="Voicemail",L401="No answer"),"High",IF(L401="Answering service","Medium","Low")))</f>
        <v/>
      </c>
      <c r="N401" s="20" t="n"/>
      <c r="O401" s="23" t="n"/>
      <c r="P401" s="20" t="n"/>
      <c r="Q401" s="23" t="n"/>
      <c r="R401" s="17">
        <f>IF(Q401="","",Q401-TODAY())</f>
        <v/>
      </c>
      <c r="S401" s="20" t="n"/>
      <c r="T401" s="18">
        <f>IF(OR(S401="",N401&lt;&gt;"Paying"),"",IFERROR(INDEX(Plans!$B$2:$B$20,MATCH(S401,Plans!$A$2:$A$20,0)),""))</f>
        <v/>
      </c>
      <c r="U401" s="24" t="n"/>
    </row>
    <row r="402">
      <c r="A402" s="20" t="n"/>
      <c r="B402" s="20" t="n"/>
      <c r="C402" s="20" t="n"/>
      <c r="D402" s="20" t="n"/>
      <c r="E402" s="20" t="n"/>
      <c r="F402" s="20" t="n"/>
      <c r="G402" s="20" t="n"/>
      <c r="H402" s="21" t="n"/>
      <c r="I402" s="20" t="n"/>
      <c r="J402" s="20" t="n"/>
      <c r="K402" s="22" t="n"/>
      <c r="L402" s="20" t="n"/>
      <c r="M402" s="15">
        <f>IF(L402="","",IF(OR(L402="Voicemail",L402="No answer"),"High",IF(L402="Answering service","Medium","Low")))</f>
        <v/>
      </c>
      <c r="N402" s="20" t="n"/>
      <c r="O402" s="23" t="n"/>
      <c r="P402" s="20" t="n"/>
      <c r="Q402" s="23" t="n"/>
      <c r="R402" s="17">
        <f>IF(Q402="","",Q402-TODAY())</f>
        <v/>
      </c>
      <c r="S402" s="20" t="n"/>
      <c r="T402" s="18">
        <f>IF(OR(S402="",N402&lt;&gt;"Paying"),"",IFERROR(INDEX(Plans!$B$2:$B$20,MATCH(S402,Plans!$A$2:$A$20,0)),""))</f>
        <v/>
      </c>
      <c r="U402" s="24" t="n"/>
    </row>
    <row r="403">
      <c r="A403" s="20" t="n"/>
      <c r="B403" s="20" t="n"/>
      <c r="C403" s="20" t="n"/>
      <c r="D403" s="20" t="n"/>
      <c r="E403" s="20" t="n"/>
      <c r="F403" s="20" t="n"/>
      <c r="G403" s="20" t="n"/>
      <c r="H403" s="21" t="n"/>
      <c r="I403" s="20" t="n"/>
      <c r="J403" s="20" t="n"/>
      <c r="K403" s="22" t="n"/>
      <c r="L403" s="20" t="n"/>
      <c r="M403" s="15">
        <f>IF(L403="","",IF(OR(L403="Voicemail",L403="No answer"),"High",IF(L403="Answering service","Medium","Low")))</f>
        <v/>
      </c>
      <c r="N403" s="20" t="n"/>
      <c r="O403" s="23" t="n"/>
      <c r="P403" s="20" t="n"/>
      <c r="Q403" s="23" t="n"/>
      <c r="R403" s="17">
        <f>IF(Q403="","",Q403-TODAY())</f>
        <v/>
      </c>
      <c r="S403" s="20" t="n"/>
      <c r="T403" s="18">
        <f>IF(OR(S403="",N403&lt;&gt;"Paying"),"",IFERROR(INDEX(Plans!$B$2:$B$20,MATCH(S403,Plans!$A$2:$A$20,0)),""))</f>
        <v/>
      </c>
      <c r="U403" s="24" t="n"/>
    </row>
    <row r="404">
      <c r="A404" s="20" t="n"/>
      <c r="B404" s="20" t="n"/>
      <c r="C404" s="20" t="n"/>
      <c r="D404" s="20" t="n"/>
      <c r="E404" s="20" t="n"/>
      <c r="F404" s="20" t="n"/>
      <c r="G404" s="20" t="n"/>
      <c r="H404" s="21" t="n"/>
      <c r="I404" s="20" t="n"/>
      <c r="J404" s="20" t="n"/>
      <c r="K404" s="22" t="n"/>
      <c r="L404" s="20" t="n"/>
      <c r="M404" s="15">
        <f>IF(L404="","",IF(OR(L404="Voicemail",L404="No answer"),"High",IF(L404="Answering service","Medium","Low")))</f>
        <v/>
      </c>
      <c r="N404" s="20" t="n"/>
      <c r="O404" s="23" t="n"/>
      <c r="P404" s="20" t="n"/>
      <c r="Q404" s="23" t="n"/>
      <c r="R404" s="17">
        <f>IF(Q404="","",Q404-TODAY())</f>
        <v/>
      </c>
      <c r="S404" s="20" t="n"/>
      <c r="T404" s="18">
        <f>IF(OR(S404="",N404&lt;&gt;"Paying"),"",IFERROR(INDEX(Plans!$B$2:$B$20,MATCH(S404,Plans!$A$2:$A$20,0)),""))</f>
        <v/>
      </c>
      <c r="U404" s="24" t="n"/>
    </row>
  </sheetData>
  <autoFilter ref="A4:U404"/>
  <conditionalFormatting sqref="A5:U404">
    <cfRule type="expression" priority="1" dxfId="0">
      <formula>AND($Q5&lt;&gt;"",$Q5&lt;TODAY(),$N5&lt;&gt;"Paying",$N5&lt;&gt;"Not interested")</formula>
    </cfRule>
  </conditionalFormatting>
  <conditionalFormatting sqref="M5:M404">
    <cfRule type="cellIs" priority="2" operator="equal" dxfId="1">
      <formula>"High"</formula>
    </cfRule>
  </conditionalFormatting>
  <dataValidations count="4">
    <dataValidation sqref="L5:L404" showDropDown="0" showInputMessage="1" showErrorMessage="1" allowBlank="1" error="Pick a value from the list." promptTitle="After-hours result" prompt="What happened when you called after 6 PM?" type="list">
      <formula1>"Voicemail,No answer,Answering service,Person answered,AI answered,Not tested"</formula1>
    </dataValidation>
    <dataValidation sqref="N5:N404" showDropDown="0" showInputMessage="1" showErrorMessage="1" allowBlank="1" error="Pick a value from the list." promptTitle="Stage" prompt="Where is this company in your pipeline?" type="list">
      <formula1>"New,Contacted,Replied,Meeting booked,Demo done,Pilot,Paying,Not now,Not interested"</formula1>
    </dataValidation>
    <dataValidation sqref="J5:J404" showDropDown="0" showInputMessage="1" showErrorMessage="1" allowBlank="1" error="Pick a value from the list." promptTitle="Source" prompt="Where did you find them?" type="list">
      <formula1>"Google Maps,Website,Referral,Supply house,Networking event,Facebook group,Other"</formula1>
    </dataValidation>
    <dataValidation sqref="S5:S404" showDropDown="0" showInputMessage="1" showErrorMessage="1" allowBlank="1" error="Pick a value from the list." promptTitle="Plan" prompt="Only needed once they're Paying" type="list">
      <formula1>=Plans!$A$2:$A$20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8" customWidth="1" min="4" max="4"/>
  </cols>
  <sheetData>
    <row r="2">
      <c r="B2" s="25" t="inlineStr">
        <is>
          <t>Pipeline summary</t>
        </is>
      </c>
    </row>
    <row r="3">
      <c r="B3" s="10" t="inlineStr">
        <is>
          <t>Updates automatically from the Leads tab (the example row is included until you delete it).</t>
        </is>
      </c>
    </row>
    <row r="5">
      <c r="A5" s="26" t="n"/>
      <c r="B5" s="27" t="inlineStr">
        <is>
          <t>Stage</t>
        </is>
      </c>
      <c r="C5" s="27" t="inlineStr">
        <is>
          <t>Companies</t>
        </is>
      </c>
      <c r="D5" s="27" t="inlineStr">
        <is>
          <t>% of total</t>
        </is>
      </c>
    </row>
    <row r="6">
      <c r="A6" s="26" t="n"/>
      <c r="B6" s="28" t="inlineStr">
        <is>
          <t>New</t>
        </is>
      </c>
      <c r="C6" s="28">
        <f>COUNTIF(Leads!$N$5:$N$404,B6)</f>
        <v/>
      </c>
      <c r="D6" s="29">
        <f>IF($C$16=0,0,C6/$C$16)</f>
        <v/>
      </c>
    </row>
    <row r="7">
      <c r="A7" s="26" t="n"/>
      <c r="B7" s="28" t="inlineStr">
        <is>
          <t>Contacted</t>
        </is>
      </c>
      <c r="C7" s="28">
        <f>COUNTIF(Leads!$N$5:$N$404,B7)</f>
        <v/>
      </c>
      <c r="D7" s="29">
        <f>IF($C$16=0,0,C7/$C$16)</f>
        <v/>
      </c>
    </row>
    <row r="8">
      <c r="A8" s="26" t="n"/>
      <c r="B8" s="28" t="inlineStr">
        <is>
          <t>Replied</t>
        </is>
      </c>
      <c r="C8" s="28">
        <f>COUNTIF(Leads!$N$5:$N$404,B8)</f>
        <v/>
      </c>
      <c r="D8" s="29">
        <f>IF($C$16=0,0,C8/$C$16)</f>
        <v/>
      </c>
    </row>
    <row r="9">
      <c r="A9" s="26" t="n"/>
      <c r="B9" s="28" t="inlineStr">
        <is>
          <t>Meeting booked</t>
        </is>
      </c>
      <c r="C9" s="28">
        <f>COUNTIF(Leads!$N$5:$N$404,B9)</f>
        <v/>
      </c>
      <c r="D9" s="29">
        <f>IF($C$16=0,0,C9/$C$16)</f>
        <v/>
      </c>
    </row>
    <row r="10">
      <c r="A10" s="26" t="n"/>
      <c r="B10" s="28" t="inlineStr">
        <is>
          <t>Demo done</t>
        </is>
      </c>
      <c r="C10" s="28">
        <f>COUNTIF(Leads!$N$5:$N$404,B10)</f>
        <v/>
      </c>
      <c r="D10" s="29">
        <f>IF($C$16=0,0,C10/$C$16)</f>
        <v/>
      </c>
    </row>
    <row r="11">
      <c r="A11" s="26" t="n"/>
      <c r="B11" s="28" t="inlineStr">
        <is>
          <t>Pilot</t>
        </is>
      </c>
      <c r="C11" s="28">
        <f>COUNTIF(Leads!$N$5:$N$404,B11)</f>
        <v/>
      </c>
      <c r="D11" s="29">
        <f>IF($C$16=0,0,C11/$C$16)</f>
        <v/>
      </c>
    </row>
    <row r="12">
      <c r="A12" s="26" t="n"/>
      <c r="B12" s="28" t="inlineStr">
        <is>
          <t>Paying</t>
        </is>
      </c>
      <c r="C12" s="28">
        <f>COUNTIF(Leads!$N$5:$N$404,B12)</f>
        <v/>
      </c>
      <c r="D12" s="29">
        <f>IF($C$16=0,0,C12/$C$16)</f>
        <v/>
      </c>
    </row>
    <row r="13">
      <c r="A13" s="26" t="n"/>
      <c r="B13" s="28" t="inlineStr">
        <is>
          <t>Not now</t>
        </is>
      </c>
      <c r="C13" s="28">
        <f>COUNTIF(Leads!$N$5:$N$404,B13)</f>
        <v/>
      </c>
      <c r="D13" s="29">
        <f>IF($C$16=0,0,C13/$C$16)</f>
        <v/>
      </c>
    </row>
    <row r="14">
      <c r="A14" s="26" t="n"/>
      <c r="B14" s="28" t="inlineStr">
        <is>
          <t>Not interested</t>
        </is>
      </c>
      <c r="C14" s="28">
        <f>COUNTIF(Leads!$N$5:$N$404,B14)</f>
        <v/>
      </c>
      <c r="D14" s="29">
        <f>IF($C$16=0,0,C14/$C$16)</f>
        <v/>
      </c>
    </row>
    <row r="15">
      <c r="A15" s="26" t="n"/>
      <c r="B15" s="28" t="n"/>
      <c r="C15" s="28" t="n"/>
      <c r="D15" s="28" t="n"/>
    </row>
    <row r="16">
      <c r="A16" s="26" t="n"/>
      <c r="B16" s="30" t="inlineStr">
        <is>
          <t>Total companies</t>
        </is>
      </c>
      <c r="C16" s="30">
        <f>SUM(C6:C14)</f>
        <v/>
      </c>
      <c r="D16" s="28" t="n"/>
    </row>
    <row r="17">
      <c r="A17" s="26" t="n"/>
      <c r="B17" s="26" t="n"/>
      <c r="C17" s="26" t="n"/>
      <c r="D17" s="26" t="n"/>
    </row>
    <row r="18">
      <c r="A18" s="26" t="n"/>
      <c r="B18" s="3" t="inlineStr">
        <is>
          <t>Key numbers</t>
        </is>
      </c>
      <c r="C18" s="26" t="n"/>
      <c r="D18" s="26" t="n"/>
    </row>
    <row r="19">
      <c r="A19" s="26" t="n"/>
      <c r="B19" s="26" t="inlineStr">
        <is>
          <t>Monthly recurring revenue (MRR)</t>
        </is>
      </c>
      <c r="C19" s="31">
        <f>SUM(Leads!$T$5:$T$404)</f>
        <v/>
      </c>
      <c r="D19" s="26" t="n"/>
    </row>
    <row r="20">
      <c r="A20" s="26" t="n"/>
      <c r="B20" s="26" t="inlineStr">
        <is>
          <t>Paying customers</t>
        </is>
      </c>
      <c r="C20" s="32">
        <f>C12</f>
        <v/>
      </c>
      <c r="D20" s="26" t="n"/>
    </row>
    <row r="21">
      <c r="A21" s="26" t="n"/>
      <c r="B21" s="26" t="inlineStr">
        <is>
          <t>Pilots running</t>
        </is>
      </c>
      <c r="C21" s="32">
        <f>C11</f>
        <v/>
      </c>
      <c r="D21" s="26" t="n"/>
    </row>
    <row r="22">
      <c r="A22" s="26" t="n"/>
      <c r="B22" s="26" t="inlineStr">
        <is>
          <t>Contacted → replied or better</t>
        </is>
      </c>
      <c r="C22" s="33">
        <f>IF(SUM(C7:C14)=0,0,SUM(C8:C12)/SUM(C7:C14))</f>
        <v/>
      </c>
      <c r="D22" s="26" t="n"/>
    </row>
    <row r="23">
      <c r="A23" s="26" t="n"/>
      <c r="B23" s="26" t="inlineStr">
        <is>
          <t>Demo done → pilot or paying</t>
        </is>
      </c>
      <c r="C23" s="33">
        <f>IF(SUM(C10:C12)=0,0,SUM(C11:C12)/SUM(C10:C12))</f>
        <v/>
      </c>
      <c r="D23" s="26" t="n"/>
    </row>
    <row r="24">
      <c r="A24" s="26" t="n"/>
      <c r="B24" s="26" t="inlineStr">
        <is>
          <t>Follow-ups overdue</t>
        </is>
      </c>
      <c r="C24" s="32">
        <f>SUMPRODUCT((Leads!$Q$5:$Q$404&lt;&gt;"")*(Leads!$Q$5:$Q$404&lt;TODAY())*(Leads!$N$5:$N$404&lt;&gt;"Paying")*(Leads!$N$5:$N$404&lt;&gt;"Not interested"))</f>
        <v/>
      </c>
      <c r="D24" s="26" t="n"/>
    </row>
    <row r="25">
      <c r="A25" s="26" t="n"/>
      <c r="B25" s="26" t="n"/>
      <c r="C25" s="26" t="n"/>
      <c r="D25" s="26" t="n"/>
    </row>
    <row r="26">
      <c r="A26" s="26" t="n"/>
      <c r="B26" s="3" t="inlineStr">
        <is>
          <t>After-hours test results</t>
        </is>
      </c>
      <c r="C26" s="26" t="n"/>
      <c r="D26" s="26" t="n"/>
    </row>
    <row r="27">
      <c r="A27" s="26" t="n"/>
      <c r="B27" s="26" t="inlineStr">
        <is>
          <t>Companies tested</t>
        </is>
      </c>
      <c r="C27" s="32">
        <f>COUNTA(Leads!$L$5:$L$404)-COUNTIF(Leads!$L$5:$L$404,"Not tested")</f>
        <v/>
      </c>
      <c r="D27" s="26" t="n"/>
    </row>
    <row r="28">
      <c r="A28" s="26" t="n"/>
      <c r="B28" s="26" t="inlineStr">
        <is>
          <t>Went to voicemail / no answer</t>
        </is>
      </c>
      <c r="C28" s="32">
        <f>COUNTIF(Leads!$L$5:$L$404,"Voicemail")+COUNTIF(Leads!$L$5:$L$404,"No answer")</f>
        <v/>
      </c>
      <c r="D28" s="26" t="n"/>
    </row>
    <row r="29">
      <c r="A29" s="26" t="n"/>
      <c r="B29" s="26" t="inlineStr">
        <is>
          <t>% missed after hours</t>
        </is>
      </c>
      <c r="C29" s="33">
        <f>IF(C27=0,0,C28/C27)</f>
        <v/>
      </c>
      <c r="D29" s="10" t="inlineStr">
        <is>
          <t>← great line for emails: “X of Y local shops I called after 6 PM went to voicemail.”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M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</cols>
  <sheetData>
    <row r="1">
      <c r="A1" s="9" t="inlineStr">
        <is>
          <t>Pilot results (one row per pilot customer)</t>
        </is>
      </c>
    </row>
    <row r="2">
      <c r="A2" s="10" t="inlineStr">
        <is>
          <t>Enter the counts from the CallFlow dashboard and the customer's real invoice amounts at day 30. Grey columns calculate.</t>
        </is>
      </c>
    </row>
    <row r="4" ht="44" customHeight="1">
      <c r="A4" s="11" t="inlineStr">
        <is>
          <t>Company</t>
        </is>
      </c>
      <c r="B4" s="11" t="inlineStr">
        <is>
          <t>Pilot start</t>
        </is>
      </c>
      <c r="C4" s="11" t="inlineStr">
        <is>
          <t>Missed calls texted back</t>
        </is>
      </c>
      <c r="D4" s="11" t="inlineStr">
        <is>
          <t>Booked from text-back</t>
        </is>
      </c>
      <c r="E4" s="11" t="inlineStr">
        <is>
          <t>Avg repair ticket ($)</t>
        </is>
      </c>
      <c r="F4" s="11" t="inlineStr">
        <is>
          <t>After-hours calls booked</t>
        </is>
      </c>
      <c r="G4" s="11" t="inlineStr">
        <is>
          <t>Estimates followed up</t>
        </is>
      </c>
      <c r="H4" s="11" t="inlineStr">
        <is>
          <t>Estimates won after follow-up</t>
        </is>
      </c>
      <c r="I4" s="11" t="inlineStr">
        <is>
          <t>Value of estimates won ($)</t>
        </is>
      </c>
      <c r="J4" s="11" t="inlineStr">
        <is>
          <t>Revenue recovered ($)</t>
        </is>
      </c>
      <c r="K4" s="11" t="inlineStr">
        <is>
          <t>Plan price ($/mo)</t>
        </is>
      </c>
      <c r="L4" s="11" t="inlineStr">
        <is>
          <t>Return on price (x)</t>
        </is>
      </c>
      <c r="M4" s="11" t="inlineStr">
        <is>
          <t>Testimonial / case study OK?</t>
        </is>
      </c>
    </row>
    <row r="5">
      <c r="A5" s="12" t="inlineStr">
        <is>
          <t>EXAMPLE — Wasatch Comfort (fictional)</t>
        </is>
      </c>
      <c r="B5" s="16" t="n">
        <v>46262</v>
      </c>
      <c r="C5" s="12" t="n">
        <v>23</v>
      </c>
      <c r="D5" s="12" t="n">
        <v>6</v>
      </c>
      <c r="E5" s="34" t="n">
        <v>480</v>
      </c>
      <c r="F5" s="12" t="n">
        <v>2</v>
      </c>
      <c r="G5" s="12" t="n">
        <v>9</v>
      </c>
      <c r="H5" s="12" t="n">
        <v>1</v>
      </c>
      <c r="I5" s="34" t="n">
        <v>7400</v>
      </c>
      <c r="J5" s="35">
        <f>IF(A5="","",(D5+F5)*E5+I5)</f>
        <v/>
      </c>
      <c r="K5" s="34" t="n">
        <v>199</v>
      </c>
      <c r="L5" s="36">
        <f>IF(OR(J5="",K5="",K5=0),"",J5/K5)</f>
        <v/>
      </c>
      <c r="M5" s="12" t="inlineStr">
        <is>
          <t>Yes</t>
        </is>
      </c>
    </row>
    <row r="6">
      <c r="A6" s="20" t="n"/>
      <c r="B6" s="23" t="n"/>
      <c r="C6" s="20" t="n"/>
      <c r="D6" s="20" t="n"/>
      <c r="E6" s="37" t="n"/>
      <c r="F6" s="20" t="n"/>
      <c r="G6" s="20" t="n"/>
      <c r="H6" s="20" t="n"/>
      <c r="I6" s="37" t="n"/>
      <c r="J6" s="35">
        <f>IF(A6="","",(D6+F6)*E6+I6)</f>
        <v/>
      </c>
      <c r="K6" s="37" t="n"/>
      <c r="L6" s="36">
        <f>IF(OR(J6="",K6="",K6=0),"",J6/K6)</f>
        <v/>
      </c>
      <c r="M6" s="20" t="n"/>
    </row>
    <row r="7">
      <c r="A7" s="20" t="n"/>
      <c r="B7" s="23" t="n"/>
      <c r="C7" s="20" t="n"/>
      <c r="D7" s="20" t="n"/>
      <c r="E7" s="37" t="n"/>
      <c r="F7" s="20" t="n"/>
      <c r="G7" s="20" t="n"/>
      <c r="H7" s="20" t="n"/>
      <c r="I7" s="37" t="n"/>
      <c r="J7" s="35">
        <f>IF(A7="","",(D7+F7)*E7+I7)</f>
        <v/>
      </c>
      <c r="K7" s="37" t="n"/>
      <c r="L7" s="36">
        <f>IF(OR(J7="",K7="",K7=0),"",J7/K7)</f>
        <v/>
      </c>
      <c r="M7" s="20" t="n"/>
    </row>
    <row r="8">
      <c r="A8" s="20" t="n"/>
      <c r="B8" s="23" t="n"/>
      <c r="C8" s="20" t="n"/>
      <c r="D8" s="20" t="n"/>
      <c r="E8" s="37" t="n"/>
      <c r="F8" s="20" t="n"/>
      <c r="G8" s="20" t="n"/>
      <c r="H8" s="20" t="n"/>
      <c r="I8" s="37" t="n"/>
      <c r="J8" s="35">
        <f>IF(A8="","",(D8+F8)*E8+I8)</f>
        <v/>
      </c>
      <c r="K8" s="37" t="n"/>
      <c r="L8" s="36">
        <f>IF(OR(J8="",K8="",K8=0),"",J8/K8)</f>
        <v/>
      </c>
      <c r="M8" s="20" t="n"/>
    </row>
    <row r="9">
      <c r="A9" s="20" t="n"/>
      <c r="B9" s="23" t="n"/>
      <c r="C9" s="20" t="n"/>
      <c r="D9" s="20" t="n"/>
      <c r="E9" s="37" t="n"/>
      <c r="F9" s="20" t="n"/>
      <c r="G9" s="20" t="n"/>
      <c r="H9" s="20" t="n"/>
      <c r="I9" s="37" t="n"/>
      <c r="J9" s="35">
        <f>IF(A9="","",(D9+F9)*E9+I9)</f>
        <v/>
      </c>
      <c r="K9" s="37" t="n"/>
      <c r="L9" s="36">
        <f>IF(OR(J9="",K9="",K9=0),"",J9/K9)</f>
        <v/>
      </c>
      <c r="M9" s="20" t="n"/>
    </row>
    <row r="10">
      <c r="A10" s="20" t="n"/>
      <c r="B10" s="23" t="n"/>
      <c r="C10" s="20" t="n"/>
      <c r="D10" s="20" t="n"/>
      <c r="E10" s="37" t="n"/>
      <c r="F10" s="20" t="n"/>
      <c r="G10" s="20" t="n"/>
      <c r="H10" s="20" t="n"/>
      <c r="I10" s="37" t="n"/>
      <c r="J10" s="35">
        <f>IF(A10="","",(D10+F10)*E10+I10)</f>
        <v/>
      </c>
      <c r="K10" s="37" t="n"/>
      <c r="L10" s="36">
        <f>IF(OR(J10="",K10="",K10=0),"",J10/K10)</f>
        <v/>
      </c>
      <c r="M10" s="20" t="n"/>
    </row>
    <row r="11">
      <c r="A11" s="20" t="n"/>
      <c r="B11" s="23" t="n"/>
      <c r="C11" s="20" t="n"/>
      <c r="D11" s="20" t="n"/>
      <c r="E11" s="37" t="n"/>
      <c r="F11" s="20" t="n"/>
      <c r="G11" s="20" t="n"/>
      <c r="H11" s="20" t="n"/>
      <c r="I11" s="37" t="n"/>
      <c r="J11" s="35">
        <f>IF(A11="","",(D11+F11)*E11+I11)</f>
        <v/>
      </c>
      <c r="K11" s="37" t="n"/>
      <c r="L11" s="36">
        <f>IF(OR(J11="",K11="",K11=0),"",J11/K11)</f>
        <v/>
      </c>
      <c r="M11" s="20" t="n"/>
    </row>
    <row r="12">
      <c r="A12" s="20" t="n"/>
      <c r="B12" s="23" t="n"/>
      <c r="C12" s="20" t="n"/>
      <c r="D12" s="20" t="n"/>
      <c r="E12" s="37" t="n"/>
      <c r="F12" s="20" t="n"/>
      <c r="G12" s="20" t="n"/>
      <c r="H12" s="20" t="n"/>
      <c r="I12" s="37" t="n"/>
      <c r="J12" s="35">
        <f>IF(A12="","",(D12+F12)*E12+I12)</f>
        <v/>
      </c>
      <c r="K12" s="37" t="n"/>
      <c r="L12" s="36">
        <f>IF(OR(J12="",K12="",K12=0),"",J12/K12)</f>
        <v/>
      </c>
      <c r="M12" s="20" t="n"/>
    </row>
    <row r="13">
      <c r="A13" s="20" t="n"/>
      <c r="B13" s="23" t="n"/>
      <c r="C13" s="20" t="n"/>
      <c r="D13" s="20" t="n"/>
      <c r="E13" s="37" t="n"/>
      <c r="F13" s="20" t="n"/>
      <c r="G13" s="20" t="n"/>
      <c r="H13" s="20" t="n"/>
      <c r="I13" s="37" t="n"/>
      <c r="J13" s="35">
        <f>IF(A13="","",(D13+F13)*E13+I13)</f>
        <v/>
      </c>
      <c r="K13" s="37" t="n"/>
      <c r="L13" s="36">
        <f>IF(OR(J13="",K13="",K13=0),"",J13/K13)</f>
        <v/>
      </c>
      <c r="M13" s="20" t="n"/>
    </row>
    <row r="14">
      <c r="A14" s="20" t="n"/>
      <c r="B14" s="23" t="n"/>
      <c r="C14" s="20" t="n"/>
      <c r="D14" s="20" t="n"/>
      <c r="E14" s="37" t="n"/>
      <c r="F14" s="20" t="n"/>
      <c r="G14" s="20" t="n"/>
      <c r="H14" s="20" t="n"/>
      <c r="I14" s="37" t="n"/>
      <c r="J14" s="35">
        <f>IF(A14="","",(D14+F14)*E14+I14)</f>
        <v/>
      </c>
      <c r="K14" s="37" t="n"/>
      <c r="L14" s="36">
        <f>IF(OR(J14="",K14="",K14=0),"",J14/K14)</f>
        <v/>
      </c>
      <c r="M14" s="20" t="n"/>
    </row>
    <row r="15">
      <c r="A15" s="20" t="n"/>
      <c r="B15" s="23" t="n"/>
      <c r="C15" s="20" t="n"/>
      <c r="D15" s="20" t="n"/>
      <c r="E15" s="37" t="n"/>
      <c r="F15" s="20" t="n"/>
      <c r="G15" s="20" t="n"/>
      <c r="H15" s="20" t="n"/>
      <c r="I15" s="37" t="n"/>
      <c r="J15" s="35">
        <f>IF(A15="","",(D15+F15)*E15+I15)</f>
        <v/>
      </c>
      <c r="K15" s="37" t="n"/>
      <c r="L15" s="36">
        <f>IF(OR(J15="",K15="",K15=0),"",J15/K15)</f>
        <v/>
      </c>
      <c r="M15" s="20" t="n"/>
    </row>
    <row r="16">
      <c r="A16" s="20" t="n"/>
      <c r="B16" s="23" t="n"/>
      <c r="C16" s="20" t="n"/>
      <c r="D16" s="20" t="n"/>
      <c r="E16" s="37" t="n"/>
      <c r="F16" s="20" t="n"/>
      <c r="G16" s="20" t="n"/>
      <c r="H16" s="20" t="n"/>
      <c r="I16" s="37" t="n"/>
      <c r="J16" s="35">
        <f>IF(A16="","",(D16+F16)*E16+I16)</f>
        <v/>
      </c>
      <c r="K16" s="37" t="n"/>
      <c r="L16" s="36">
        <f>IF(OR(J16="",K16="",K16=0),"",J16/K16)</f>
        <v/>
      </c>
      <c r="M16" s="20" t="n"/>
    </row>
    <row r="17">
      <c r="A17" s="20" t="n"/>
      <c r="B17" s="23" t="n"/>
      <c r="C17" s="20" t="n"/>
      <c r="D17" s="20" t="n"/>
      <c r="E17" s="37" t="n"/>
      <c r="F17" s="20" t="n"/>
      <c r="G17" s="20" t="n"/>
      <c r="H17" s="20" t="n"/>
      <c r="I17" s="37" t="n"/>
      <c r="J17" s="35">
        <f>IF(A17="","",(D17+F17)*E17+I17)</f>
        <v/>
      </c>
      <c r="K17" s="37" t="n"/>
      <c r="L17" s="36">
        <f>IF(OR(J17="",K17="",K17=0),"",J17/K17)</f>
        <v/>
      </c>
      <c r="M17" s="20" t="n"/>
    </row>
    <row r="18">
      <c r="A18" s="20" t="n"/>
      <c r="B18" s="23" t="n"/>
      <c r="C18" s="20" t="n"/>
      <c r="D18" s="20" t="n"/>
      <c r="E18" s="37" t="n"/>
      <c r="F18" s="20" t="n"/>
      <c r="G18" s="20" t="n"/>
      <c r="H18" s="20" t="n"/>
      <c r="I18" s="37" t="n"/>
      <c r="J18" s="35">
        <f>IF(A18="","",(D18+F18)*E18+I18)</f>
        <v/>
      </c>
      <c r="K18" s="37" t="n"/>
      <c r="L18" s="36">
        <f>IF(OR(J18="",K18="",K18=0),"",J18/K18)</f>
        <v/>
      </c>
      <c r="M18" s="20" t="n"/>
    </row>
    <row r="19">
      <c r="A19" s="20" t="n"/>
      <c r="B19" s="23" t="n"/>
      <c r="C19" s="20" t="n"/>
      <c r="D19" s="20" t="n"/>
      <c r="E19" s="37" t="n"/>
      <c r="F19" s="20" t="n"/>
      <c r="G19" s="20" t="n"/>
      <c r="H19" s="20" t="n"/>
      <c r="I19" s="37" t="n"/>
      <c r="J19" s="35">
        <f>IF(A19="","",(D19+F19)*E19+I19)</f>
        <v/>
      </c>
      <c r="K19" s="37" t="n"/>
      <c r="L19" s="36">
        <f>IF(OR(J19="",K19="",K19=0),"",J19/K19)</f>
        <v/>
      </c>
      <c r="M19" s="20" t="n"/>
    </row>
    <row r="20">
      <c r="A20" s="20" t="n"/>
      <c r="B20" s="23" t="n"/>
      <c r="C20" s="20" t="n"/>
      <c r="D20" s="20" t="n"/>
      <c r="E20" s="37" t="n"/>
      <c r="F20" s="20" t="n"/>
      <c r="G20" s="20" t="n"/>
      <c r="H20" s="20" t="n"/>
      <c r="I20" s="37" t="n"/>
      <c r="J20" s="35">
        <f>IF(A20="","",(D20+F20)*E20+I20)</f>
        <v/>
      </c>
      <c r="K20" s="37" t="n"/>
      <c r="L20" s="36">
        <f>IF(OR(J20="",K20="",K20=0),"",J20/K20)</f>
        <v/>
      </c>
      <c r="M20" s="20" t="n"/>
    </row>
    <row r="21">
      <c r="A21" s="20" t="n"/>
      <c r="B21" s="23" t="n"/>
      <c r="C21" s="20" t="n"/>
      <c r="D21" s="20" t="n"/>
      <c r="E21" s="37" t="n"/>
      <c r="F21" s="20" t="n"/>
      <c r="G21" s="20" t="n"/>
      <c r="H21" s="20" t="n"/>
      <c r="I21" s="37" t="n"/>
      <c r="J21" s="35">
        <f>IF(A21="","",(D21+F21)*E21+I21)</f>
        <v/>
      </c>
      <c r="K21" s="37" t="n"/>
      <c r="L21" s="36">
        <f>IF(OR(J21="",K21="",K21=0),"",J21/K21)</f>
        <v/>
      </c>
      <c r="M21" s="20" t="n"/>
    </row>
    <row r="22">
      <c r="A22" s="20" t="n"/>
      <c r="B22" s="23" t="n"/>
      <c r="C22" s="20" t="n"/>
      <c r="D22" s="20" t="n"/>
      <c r="E22" s="37" t="n"/>
      <c r="F22" s="20" t="n"/>
      <c r="G22" s="20" t="n"/>
      <c r="H22" s="20" t="n"/>
      <c r="I22" s="37" t="n"/>
      <c r="J22" s="35">
        <f>IF(A22="","",(D22+F22)*E22+I22)</f>
        <v/>
      </c>
      <c r="K22" s="37" t="n"/>
      <c r="L22" s="36">
        <f>IF(OR(J22="",K22="",K22=0),"",J22/K22)</f>
        <v/>
      </c>
      <c r="M22" s="20" t="n"/>
    </row>
    <row r="23">
      <c r="A23" s="20" t="n"/>
      <c r="B23" s="23" t="n"/>
      <c r="C23" s="20" t="n"/>
      <c r="D23" s="20" t="n"/>
      <c r="E23" s="37" t="n"/>
      <c r="F23" s="20" t="n"/>
      <c r="G23" s="20" t="n"/>
      <c r="H23" s="20" t="n"/>
      <c r="I23" s="37" t="n"/>
      <c r="J23" s="35">
        <f>IF(A23="","",(D23+F23)*E23+I23)</f>
        <v/>
      </c>
      <c r="K23" s="37" t="n"/>
      <c r="L23" s="36">
        <f>IF(OR(J23="",K23="",K23=0),"",J23/K23)</f>
        <v/>
      </c>
      <c r="M23" s="20" t="n"/>
    </row>
    <row r="24">
      <c r="A24" s="20" t="n"/>
      <c r="B24" s="23" t="n"/>
      <c r="C24" s="20" t="n"/>
      <c r="D24" s="20" t="n"/>
      <c r="E24" s="37" t="n"/>
      <c r="F24" s="20" t="n"/>
      <c r="G24" s="20" t="n"/>
      <c r="H24" s="20" t="n"/>
      <c r="I24" s="37" t="n"/>
      <c r="J24" s="35">
        <f>IF(A24="","",(D24+F24)*E24+I24)</f>
        <v/>
      </c>
      <c r="K24" s="37" t="n"/>
      <c r="L24" s="36">
        <f>IF(OR(J24="",K24="",K24=0),"",J24/K24)</f>
        <v/>
      </c>
      <c r="M24" s="20" t="n"/>
    </row>
    <row r="25">
      <c r="A25" s="20" t="n"/>
      <c r="B25" s="23" t="n"/>
      <c r="C25" s="20" t="n"/>
      <c r="D25" s="20" t="n"/>
      <c r="E25" s="37" t="n"/>
      <c r="F25" s="20" t="n"/>
      <c r="G25" s="20" t="n"/>
      <c r="H25" s="20" t="n"/>
      <c r="I25" s="37" t="n"/>
      <c r="J25" s="35">
        <f>IF(A25="","",(D25+F25)*E25+I25)</f>
        <v/>
      </c>
      <c r="K25" s="37" t="n"/>
      <c r="L25" s="36">
        <f>IF(OR(J25="",K25="",K25=0),"",J25/K25)</f>
        <v/>
      </c>
      <c r="M25" s="20" t="n"/>
    </row>
    <row r="26">
      <c r="A26" s="20" t="n"/>
      <c r="B26" s="23" t="n"/>
      <c r="C26" s="20" t="n"/>
      <c r="D26" s="20" t="n"/>
      <c r="E26" s="37" t="n"/>
      <c r="F26" s="20" t="n"/>
      <c r="G26" s="20" t="n"/>
      <c r="H26" s="20" t="n"/>
      <c r="I26" s="37" t="n"/>
      <c r="J26" s="35">
        <f>IF(A26="","",(D26+F26)*E26+I26)</f>
        <v/>
      </c>
      <c r="K26" s="37" t="n"/>
      <c r="L26" s="36">
        <f>IF(OR(J26="",K26="",K26=0),"",J26/K26)</f>
        <v/>
      </c>
      <c r="M26" s="20" t="n"/>
    </row>
    <row r="27">
      <c r="A27" s="20" t="n"/>
      <c r="B27" s="23" t="n"/>
      <c r="C27" s="20" t="n"/>
      <c r="D27" s="20" t="n"/>
      <c r="E27" s="37" t="n"/>
      <c r="F27" s="20" t="n"/>
      <c r="G27" s="20" t="n"/>
      <c r="H27" s="20" t="n"/>
      <c r="I27" s="37" t="n"/>
      <c r="J27" s="35">
        <f>IF(A27="","",(D27+F27)*E27+I27)</f>
        <v/>
      </c>
      <c r="K27" s="37" t="n"/>
      <c r="L27" s="36">
        <f>IF(OR(J27="",K27="",K27=0),"",J27/K27)</f>
        <v/>
      </c>
      <c r="M27" s="20" t="n"/>
    </row>
    <row r="28">
      <c r="A28" s="20" t="n"/>
      <c r="B28" s="23" t="n"/>
      <c r="C28" s="20" t="n"/>
      <c r="D28" s="20" t="n"/>
      <c r="E28" s="37" t="n"/>
      <c r="F28" s="20" t="n"/>
      <c r="G28" s="20" t="n"/>
      <c r="H28" s="20" t="n"/>
      <c r="I28" s="37" t="n"/>
      <c r="J28" s="35">
        <f>IF(A28="","",(D28+F28)*E28+I28)</f>
        <v/>
      </c>
      <c r="K28" s="37" t="n"/>
      <c r="L28" s="36">
        <f>IF(OR(J28="",K28="",K28=0),"",J28/K28)</f>
        <v/>
      </c>
      <c r="M28" s="20" t="n"/>
    </row>
    <row r="29">
      <c r="A29" s="20" t="n"/>
      <c r="B29" s="23" t="n"/>
      <c r="C29" s="20" t="n"/>
      <c r="D29" s="20" t="n"/>
      <c r="E29" s="37" t="n"/>
      <c r="F29" s="20" t="n"/>
      <c r="G29" s="20" t="n"/>
      <c r="H29" s="20" t="n"/>
      <c r="I29" s="37" t="n"/>
      <c r="J29" s="35">
        <f>IF(A29="","",(D29+F29)*E29+I29)</f>
        <v/>
      </c>
      <c r="K29" s="37" t="n"/>
      <c r="L29" s="36">
        <f>IF(OR(J29="",K29="",K29=0),"",J29/K29)</f>
        <v/>
      </c>
      <c r="M29" s="20" t="n"/>
    </row>
    <row r="30">
      <c r="A30" s="20" t="n"/>
      <c r="B30" s="23" t="n"/>
      <c r="C30" s="20" t="n"/>
      <c r="D30" s="20" t="n"/>
      <c r="E30" s="37" t="n"/>
      <c r="F30" s="20" t="n"/>
      <c r="G30" s="20" t="n"/>
      <c r="H30" s="20" t="n"/>
      <c r="I30" s="37" t="n"/>
      <c r="J30" s="35">
        <f>IF(A30="","",(D30+F30)*E30+I30)</f>
        <v/>
      </c>
      <c r="K30" s="37" t="n"/>
      <c r="L30" s="36">
        <f>IF(OR(J30="",K30="",K30=0),"",J30/K30)</f>
        <v/>
      </c>
      <c r="M30" s="20" t="n"/>
    </row>
    <row r="31">
      <c r="A31" s="20" t="n"/>
      <c r="B31" s="23" t="n"/>
      <c r="C31" s="20" t="n"/>
      <c r="D31" s="20" t="n"/>
      <c r="E31" s="37" t="n"/>
      <c r="F31" s="20" t="n"/>
      <c r="G31" s="20" t="n"/>
      <c r="H31" s="20" t="n"/>
      <c r="I31" s="37" t="n"/>
      <c r="J31" s="35">
        <f>IF(A31="","",(D31+F31)*E31+I31)</f>
        <v/>
      </c>
      <c r="K31" s="37" t="n"/>
      <c r="L31" s="36">
        <f>IF(OR(J31="",K31="",K31=0),"",J31/K31)</f>
        <v/>
      </c>
      <c r="M31" s="20" t="n"/>
    </row>
    <row r="32">
      <c r="A32" s="20" t="n"/>
      <c r="B32" s="23" t="n"/>
      <c r="C32" s="20" t="n"/>
      <c r="D32" s="20" t="n"/>
      <c r="E32" s="37" t="n"/>
      <c r="F32" s="20" t="n"/>
      <c r="G32" s="20" t="n"/>
      <c r="H32" s="20" t="n"/>
      <c r="I32" s="37" t="n"/>
      <c r="J32" s="35">
        <f>IF(A32="","",(D32+F32)*E32+I32)</f>
        <v/>
      </c>
      <c r="K32" s="37" t="n"/>
      <c r="L32" s="36">
        <f>IF(OR(J32="",K32="",K32=0),"",J32/K32)</f>
        <v/>
      </c>
      <c r="M32" s="20" t="n"/>
    </row>
    <row r="33">
      <c r="A33" s="20" t="n"/>
      <c r="B33" s="23" t="n"/>
      <c r="C33" s="20" t="n"/>
      <c r="D33" s="20" t="n"/>
      <c r="E33" s="37" t="n"/>
      <c r="F33" s="20" t="n"/>
      <c r="G33" s="20" t="n"/>
      <c r="H33" s="20" t="n"/>
      <c r="I33" s="37" t="n"/>
      <c r="J33" s="35">
        <f>IF(A33="","",(D33+F33)*E33+I33)</f>
        <v/>
      </c>
      <c r="K33" s="37" t="n"/>
      <c r="L33" s="36">
        <f>IF(OR(J33="",K33="",K33=0),"",J33/K33)</f>
        <v/>
      </c>
      <c r="M33" s="20" t="n"/>
    </row>
    <row r="34">
      <c r="A34" s="20" t="n"/>
      <c r="B34" s="23" t="n"/>
      <c r="C34" s="20" t="n"/>
      <c r="D34" s="20" t="n"/>
      <c r="E34" s="37" t="n"/>
      <c r="F34" s="20" t="n"/>
      <c r="G34" s="20" t="n"/>
      <c r="H34" s="20" t="n"/>
      <c r="I34" s="37" t="n"/>
      <c r="J34" s="35">
        <f>IF(A34="","",(D34+F34)*E34+I34)</f>
        <v/>
      </c>
      <c r="K34" s="37" t="n"/>
      <c r="L34" s="36">
        <f>IF(OR(J34="",K34="",K34=0),"",J34/K34)</f>
        <v/>
      </c>
      <c r="M34" s="20" t="n"/>
    </row>
    <row r="37">
      <c r="A37" s="10" t="inlineStr">
        <is>
          <t>Example row numbers are fictional and only show the format.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4A3B8"/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38" t="inlineStr">
        <is>
          <t>Plan</t>
        </is>
      </c>
      <c r="B1" s="38" t="inlineStr">
        <is>
          <t>Monthly price ($)</t>
        </is>
      </c>
      <c r="C1" s="38" t="inlineStr">
        <is>
          <t>Note</t>
        </is>
      </c>
    </row>
    <row r="2">
      <c r="A2" s="39" t="inlineStr">
        <is>
          <t>Starter</t>
        </is>
      </c>
      <c r="B2" s="40" t="n">
        <v>199</v>
      </c>
      <c r="C2" s="39" t="inlineStr">
        <is>
          <t>Price from the CallFlow app</t>
        </is>
      </c>
    </row>
    <row r="3">
      <c r="A3" s="39" t="inlineStr">
        <is>
          <t>Growth</t>
        </is>
      </c>
      <c r="B3" s="40" t="n">
        <v>399</v>
      </c>
      <c r="C3" s="39" t="inlineStr">
        <is>
          <t>Price from the CallFlow app</t>
        </is>
      </c>
    </row>
    <row r="4">
      <c r="A4" s="39" t="inlineStr">
        <is>
          <t>Pro</t>
        </is>
      </c>
      <c r="B4" s="40" t="n">
        <v>699</v>
      </c>
      <c r="C4" s="39" t="inlineStr">
        <is>
          <t>Price from the CallFlow app</t>
        </is>
      </c>
    </row>
    <row r="5">
      <c r="A5" s="39" t="inlineStr">
        <is>
          <t>Founding Starter</t>
        </is>
      </c>
      <c r="B5" s="40" t="n">
        <v>99.5</v>
      </c>
      <c r="C5" s="39" t="inlineStr">
        <is>
          <t>Assumption: 50% off Starter for first 6 months (sales/05-pricing-and-pilot.md). Edit if you choose a different offer.</t>
        </is>
      </c>
    </row>
    <row r="6">
      <c r="A6" s="39" t="inlineStr">
        <is>
          <t>Founding Growth</t>
        </is>
      </c>
      <c r="B6" s="40" t="n">
        <v>199.5</v>
      </c>
      <c r="C6" s="39" t="inlineStr">
        <is>
          <t>Assumption: 50% off Growth for first 6 months. Edit if you choose a different offer.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2026-09-27T08:24:04Z</dcterms:created>
  <dcterms:modified xsi:type="dcterms:W3CDTF">2026-09-27T08:24:04Z</dcterms:modified>
</cp:coreProperties>
</file>